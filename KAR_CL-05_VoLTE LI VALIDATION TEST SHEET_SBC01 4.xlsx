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tam\Downloads\"/>
    </mc:Choice>
  </mc:AlternateContent>
  <xr:revisionPtr revIDLastSave="0" documentId="13_ncr:1_{E125BD6C-D272-480E-89AF-025A53DEE7B1}" xr6:coauthVersionLast="47" xr6:coauthVersionMax="47" xr10:uidLastSave="{00000000-0000-0000-0000-000000000000}"/>
  <bookViews>
    <workbookView xWindow="-108" yWindow="-108" windowWidth="23256" windowHeight="12456" tabRatio="742" activeTab="4" xr2:uid="{21911ED1-22C6-4B12-B1D5-5FEA09BF6FAE}"/>
  </bookViews>
  <sheets>
    <sheet name="SBC04_VoLTE LI" sheetId="1" r:id="rId1"/>
    <sheet name="SBC05_VOLTE LI" sheetId="12" r:id="rId2"/>
    <sheet name="SBC06_VoLTE LI" sheetId="11" r:id="rId3"/>
    <sheet name="Summary" sheetId="9" r:id="rId4"/>
    <sheet name="Sheet1" sheetId="7" r:id="rId5"/>
    <sheet name="Sheet2" sheetId="13" r:id="rId6"/>
  </sheets>
  <definedNames>
    <definedName name="_xlnm._FilterDatabase" localSheetId="0" hidden="1">'SBC04_VoLTE LI'!$A$3:$S$39</definedName>
    <definedName name="_xlnm._FilterDatabase" localSheetId="2" hidden="1">'SBC06_VoLTE LI'!$A$3:$S$39</definedName>
    <definedName name="_xlnm._FilterDatabase" localSheetId="4" hidden="1">Sheet1!$A$1:$H$9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9" l="1"/>
  <c r="G5" i="9"/>
  <c r="F5" i="9"/>
  <c r="E5" i="9"/>
  <c r="D5" i="9"/>
  <c r="C5" i="9"/>
  <c r="B5" i="9"/>
  <c r="B9" i="9" l="1"/>
  <c r="B10" i="9" s="1"/>
</calcChain>
</file>

<file path=xl/sharedStrings.xml><?xml version="1.0" encoding="utf-8"?>
<sst xmlns="http://schemas.openxmlformats.org/spreadsheetml/2006/main" count="761" uniqueCount="143">
  <si>
    <t>Case No</t>
  </si>
  <si>
    <t>Type</t>
  </si>
  <si>
    <t>Scenarios</t>
  </si>
  <si>
    <t>Status</t>
  </si>
  <si>
    <t>Tested On</t>
  </si>
  <si>
    <t>Duration</t>
  </si>
  <si>
    <t xml:space="preserve">Target  Number </t>
  </si>
  <si>
    <t>Fanout Number</t>
  </si>
  <si>
    <t xml:space="preserve">Multiple fanout </t>
  </si>
  <si>
    <t>A-Party</t>
  </si>
  <si>
    <t>B-Party</t>
  </si>
  <si>
    <t>C-Party</t>
  </si>
  <si>
    <t xml:space="preserve">CRI VALIDATION </t>
  </si>
  <si>
    <t>MEDIATION SERVER IP</t>
  </si>
  <si>
    <t>MEDIATION SERVER HOST NAME</t>
  </si>
  <si>
    <t>Zeel reamark</t>
  </si>
  <si>
    <t>(Date )</t>
  </si>
  <si>
    <t>(Time)</t>
  </si>
  <si>
    <t>LI_1</t>
  </si>
  <si>
    <t>MSISDN</t>
  </si>
  <si>
    <t>Regular Voice Call_MO (VoLTE)from Handset</t>
  </si>
  <si>
    <t>OK</t>
  </si>
  <si>
    <t>9743278355 </t>
  </si>
  <si>
    <t>LI_2</t>
  </si>
  <si>
    <t>Regular Voice Call_MO (VoLTE)from Apple I watch</t>
  </si>
  <si>
    <t>I watch not available</t>
  </si>
  <si>
    <t>LI_3</t>
  </si>
  <si>
    <t>Regular Voice Call_MT (VoLTE) received on Handset</t>
  </si>
  <si>
    <t>LI_4</t>
  </si>
  <si>
    <t>Regular Voice Call_MT (VoLTE) received on I watch</t>
  </si>
  <si>
    <t>LI_5</t>
  </si>
  <si>
    <t>Regular Voice Call_MO (Breakout) from Handset</t>
  </si>
  <si>
    <t>LI_6</t>
  </si>
  <si>
    <t>Regular Voice Call_MO (Breakout) from I watch</t>
  </si>
  <si>
    <t>LI_7</t>
  </si>
  <si>
    <t>Regular Voice Call_MT (Breakin)received on Handset</t>
  </si>
  <si>
    <t>LI_8</t>
  </si>
  <si>
    <t>Regular Voice Call_MT (Breakin)received on I watch</t>
  </si>
  <si>
    <t>LI_9</t>
  </si>
  <si>
    <t>Regular SMS _MO (Breakout)</t>
  </si>
  <si>
    <t>LI_10</t>
  </si>
  <si>
    <t>Regular SMS _MT (Brwakin)</t>
  </si>
  <si>
    <t>NOK</t>
  </si>
  <si>
    <t>LI_11</t>
  </si>
  <si>
    <t>Regular SMS _MO (VoLTE)</t>
  </si>
  <si>
    <t>LI_12</t>
  </si>
  <si>
    <t>Regular SMS _MT (VoLTE)</t>
  </si>
  <si>
    <t>LI_13</t>
  </si>
  <si>
    <t>MO/MO Conf.</t>
  </si>
  <si>
    <t>LI_14</t>
  </si>
  <si>
    <t>MT/MT Conf</t>
  </si>
  <si>
    <t>LI_15</t>
  </si>
  <si>
    <t>Voice Call Forwarding (not reachable)  B Forwarded to C</t>
  </si>
  <si>
    <t>LI_16</t>
  </si>
  <si>
    <t>Voice Call Forwarding (no reply)  B Forwarded to C</t>
  </si>
  <si>
    <t>LI_17</t>
  </si>
  <si>
    <t>Voice Call Forwarding (Unconditional)  B Forwarded to C</t>
  </si>
  <si>
    <t>LI_18</t>
  </si>
  <si>
    <t>Voice Call Forwarding (user busy)  B Forwarded to C</t>
  </si>
  <si>
    <t>LI_19</t>
  </si>
  <si>
    <t xml:space="preserve">Voice to Video Switch over </t>
  </si>
  <si>
    <t>LI_20</t>
  </si>
  <si>
    <t>Video to Voice Switch over</t>
  </si>
  <si>
    <t>LI_21</t>
  </si>
  <si>
    <t>USSD Interception</t>
  </si>
  <si>
    <t>*199#</t>
  </si>
  <si>
    <t>LI_22</t>
  </si>
  <si>
    <t>DTMF</t>
  </si>
  <si>
    <t>LI_23</t>
  </si>
  <si>
    <t>Multiple Fan out Voice (MO)</t>
  </si>
  <si>
    <t>LI_24</t>
  </si>
  <si>
    <t>Multiple Fan out Voice (MT)</t>
  </si>
  <si>
    <t>LI_25</t>
  </si>
  <si>
    <t>Multiple Fan out Video (MO)</t>
  </si>
  <si>
    <t>LI_26</t>
  </si>
  <si>
    <t>Multiple Fan out Video (MT)</t>
  </si>
  <si>
    <t>LI_27</t>
  </si>
  <si>
    <t>Multiple Fan out Video (Voice to Video)</t>
  </si>
  <si>
    <t>LI_28</t>
  </si>
  <si>
    <t>Multiple Fan out Video (Video to Voice)</t>
  </si>
  <si>
    <t>LI_29</t>
  </si>
  <si>
    <t>IMSI</t>
  </si>
  <si>
    <t>Regular Voice Call_MO (VoLTE)</t>
  </si>
  <si>
    <t>LI_30</t>
  </si>
  <si>
    <t>Regular Voice Call_MT (VoLTE)</t>
  </si>
  <si>
    <t>LI_31</t>
  </si>
  <si>
    <t>Regular Voice Call_MO (Breakout)</t>
  </si>
  <si>
    <t>LI_32</t>
  </si>
  <si>
    <t>Regular Voice Call_MT (Breakin)</t>
  </si>
  <si>
    <t>LI_33</t>
  </si>
  <si>
    <t>IMEI</t>
  </si>
  <si>
    <t>LI_34</t>
  </si>
  <si>
    <t>LI_35</t>
  </si>
  <si>
    <t>LI_36</t>
  </si>
  <si>
    <t>THE FOLLOWING TEST CASES MUST BE PERFORMED ON THE REMAINING MEDIATION SERVERS</t>
  </si>
  <si>
    <t>SR.NO.</t>
  </si>
  <si>
    <t>Following artefacts to be captured and attach in the next sheets</t>
  </si>
  <si>
    <t>Captured Status ( YES/NO)</t>
  </si>
  <si>
    <t>Attach X1/X2/X3 ping &amp; traceroutes between peer nodes (Forwards &amp; Reverse)</t>
  </si>
  <si>
    <t>Route snapshot from Mediation servers</t>
  </si>
  <si>
    <t>Routing table dump from all mediation servers</t>
  </si>
  <si>
    <t>SBC04</t>
  </si>
  <si>
    <t>Completed</t>
  </si>
  <si>
    <t>SBC05</t>
  </si>
  <si>
    <t>SBC06</t>
  </si>
  <si>
    <t>Total</t>
  </si>
  <si>
    <t>Pending</t>
  </si>
  <si>
    <t>Target Number</t>
  </si>
  <si>
    <t>Target Type</t>
  </si>
  <si>
    <t>Number belongs to</t>
  </si>
  <si>
    <t>Interception Circle</t>
  </si>
  <si>
    <t>Number Type</t>
  </si>
  <si>
    <t>Test Period</t>
  </si>
  <si>
    <t>Fan Out No</t>
  </si>
  <si>
    <t>Purpose</t>
  </si>
  <si>
    <t>KAR VF</t>
  </si>
  <si>
    <t>Karnataka</t>
  </si>
  <si>
    <t>Test</t>
  </si>
  <si>
    <t>18-06-2026 to 18-07-2026</t>
  </si>
  <si>
    <r>
      <t>041218722830612-</t>
    </r>
    <r>
      <rPr>
        <sz val="7.5"/>
        <color rgb="FF00B0F0"/>
        <rFont val="Vi"/>
      </rPr>
      <t>KARTST</t>
    </r>
    <r>
      <rPr>
        <sz val="7.5"/>
        <color rgb="FF000000"/>
        <rFont val="Vi"/>
      </rPr>
      <t> MUID</t>
    </r>
  </si>
  <si>
    <t>BTP New IMS setup testing</t>
  </si>
  <si>
    <r>
      <t>041219986206416-</t>
    </r>
    <r>
      <rPr>
        <sz val="7.5"/>
        <color rgb="FFFFC000"/>
        <rFont val="Vi"/>
      </rPr>
      <t>KARTST1</t>
    </r>
    <r>
      <rPr>
        <sz val="7.5"/>
        <color rgb="FF000000"/>
        <rFont val="Vi"/>
      </rPr>
      <t> MUID</t>
    </r>
  </si>
  <si>
    <t>KAR IDEA</t>
  </si>
  <si>
    <t>8722385392  Idea prepaid  404446911250190  SBC06+CFX02+TAS03</t>
  </si>
  <si>
    <t>9743278355  Idea_Postpaid  404446910557966  SBC05+CFX03+TAS04</t>
  </si>
  <si>
    <t>9743560402  Idea_Postpaid  404446910557968  SBC04+CFX02+TAS03</t>
  </si>
  <si>
    <t>VF_Postpaid</t>
  </si>
  <si>
    <t>SBC05+CFX02+TAS03</t>
  </si>
  <si>
    <t>Brand</t>
  </si>
  <si>
    <t>LRN-Fan Out No</t>
  </si>
  <si>
    <t>Node</t>
  </si>
  <si>
    <t>MUID</t>
  </si>
  <si>
    <t>Number Category(as per CRM)</t>
  </si>
  <si>
    <t>Interception Required for</t>
  </si>
  <si>
    <t>Remarks</t>
  </si>
  <si>
    <t>Circle</t>
  </si>
  <si>
    <t>KAR</t>
  </si>
  <si>
    <t>19-06-2026 to 31-07-2026</t>
  </si>
  <si>
    <t>Fan-out01:8722830612  Fan-out02: 9986206416</t>
  </si>
  <si>
    <t>CFX02+CFX03+SBC04+SBC05+SBC06+TAS03+TAS04</t>
  </si>
  <si>
    <t>KAR IMS LI Functional testing</t>
  </si>
  <si>
    <t>Test Number</t>
  </si>
  <si>
    <t>VOICE,VOLTE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</si>
</sst>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5"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Vi"/>
      <family val="3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7.5"/>
      <color rgb="FF000000"/>
      <name val="Vi"/>
    </font>
    <font>
      <b/>
      <sz val="11"/>
      <color rgb="FF000000"/>
      <name val="Vi"/>
    </font>
    <font>
      <sz val="7.5"/>
      <color rgb="FF000000"/>
      <name val="Vi"/>
    </font>
    <font>
      <sz val="7.5"/>
      <color rgb="FF00B0F0"/>
      <name val="Vi"/>
    </font>
    <font>
      <sz val="7.5"/>
      <color rgb="FFFFC000"/>
      <name val="Vi"/>
    </font>
    <font>
      <sz val="7"/>
      <color rgb="FFE3E3E3"/>
      <name val="Arial"/>
      <family val="2"/>
    </font>
    <font>
      <sz val="11"/>
      <color rgb="FF000000"/>
      <name val="Aptos Narrow"/>
      <family val="2"/>
    </font>
    <font>
      <sz val="9"/>
      <color rgb="FF000000"/>
      <name val="Vi"/>
    </font>
    <font>
      <sz val="9"/>
      <color rgb="FFFFFFFF"/>
      <name val="Vi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21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1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1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1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1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</cellStyleXfs>
  <cellXfs count="175">
    <xf numFmtId="0" fontId="0" fillId="0" borderId="0" xfId="0"/>
    <xf numFmtId="14" fontId="0" fillId="34" borderId="10" xfId="0" applyNumberFormat="1" applyFill="1" applyBorder="1" applyAlignment="1">
      <alignment horizontal="center" vertical="center" wrapText="1"/>
    </xf>
    <xf numFmtId="164" fontId="0" fillId="34" borderId="10" xfId="0" applyNumberFormat="1" applyFill="1" applyBorder="1" applyAlignment="1">
      <alignment horizontal="center" vertical="center" wrapText="1"/>
    </xf>
    <xf numFmtId="0" fontId="2" fillId="33" borderId="10" xfId="0" applyFont="1" applyFill="1" applyBorder="1" applyAlignment="1">
      <alignment horizontal="center"/>
    </xf>
    <xf numFmtId="0" fontId="2" fillId="33" borderId="10" xfId="0" applyFont="1" applyFill="1" applyBorder="1"/>
    <xf numFmtId="0" fontId="2" fillId="33" borderId="10" xfId="0" applyFont="1" applyFill="1" applyBorder="1" applyAlignment="1">
      <alignment horizontal="center" vertical="center"/>
    </xf>
    <xf numFmtId="0" fontId="4" fillId="36" borderId="10" xfId="0" applyFont="1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 wrapText="1"/>
    </xf>
    <xf numFmtId="14" fontId="0" fillId="36" borderId="10" xfId="0" applyNumberFormat="1" applyFill="1" applyBorder="1" applyAlignment="1">
      <alignment horizontal="center" vertical="center"/>
    </xf>
    <xf numFmtId="164" fontId="0" fillId="36" borderId="10" xfId="0" applyNumberFormat="1" applyFill="1" applyBorder="1" applyAlignment="1">
      <alignment horizontal="center" vertical="center" wrapText="1"/>
    </xf>
    <xf numFmtId="0" fontId="4" fillId="36" borderId="10" xfId="0" applyFont="1" applyFill="1" applyBorder="1" applyAlignment="1">
      <alignment horizontal="center" vertical="center" wrapText="1"/>
    </xf>
    <xf numFmtId="0" fontId="3" fillId="36" borderId="10" xfId="0" applyFont="1" applyFill="1" applyBorder="1" applyAlignment="1">
      <alignment horizontal="center" vertical="center"/>
    </xf>
    <xf numFmtId="0" fontId="3" fillId="37" borderId="10" xfId="0" applyFont="1" applyFill="1" applyBorder="1" applyAlignment="1">
      <alignment horizontal="center" vertical="center"/>
    </xf>
    <xf numFmtId="20" fontId="0" fillId="36" borderId="10" xfId="0" applyNumberForma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3" fillId="34" borderId="10" xfId="0" applyFon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 vertical="center"/>
    </xf>
    <xf numFmtId="0" fontId="3" fillId="38" borderId="10" xfId="0" applyFont="1" applyFill="1" applyBorder="1" applyAlignment="1">
      <alignment horizontal="center"/>
    </xf>
    <xf numFmtId="0" fontId="3" fillId="39" borderId="10" xfId="0" applyFont="1" applyFill="1" applyBorder="1" applyAlignment="1">
      <alignment horizontal="center"/>
    </xf>
    <xf numFmtId="14" fontId="0" fillId="38" borderId="10" xfId="0" applyNumberFormat="1" applyFill="1" applyBorder="1" applyAlignment="1">
      <alignment horizontal="center" vertical="center"/>
    </xf>
    <xf numFmtId="164" fontId="0" fillId="38" borderId="10" xfId="0" applyNumberFormat="1" applyFill="1" applyBorder="1" applyAlignment="1">
      <alignment horizontal="center" vertical="center" wrapText="1"/>
    </xf>
    <xf numFmtId="0" fontId="0" fillId="38" borderId="10" xfId="0" applyFill="1" applyBorder="1" applyAlignment="1">
      <alignment horizontal="left"/>
    </xf>
    <xf numFmtId="0" fontId="3" fillId="39" borderId="10" xfId="0" applyFont="1" applyFill="1" applyBorder="1"/>
    <xf numFmtId="0" fontId="3" fillId="36" borderId="10" xfId="0" applyFont="1" applyFill="1" applyBorder="1" applyAlignment="1">
      <alignment horizontal="left" vertical="center"/>
    </xf>
    <xf numFmtId="0" fontId="4" fillId="36" borderId="10" xfId="0" applyFont="1" applyFill="1" applyBorder="1" applyAlignment="1">
      <alignment horizontal="left" vertical="center"/>
    </xf>
    <xf numFmtId="0" fontId="3" fillId="37" borderId="10" xfId="0" applyFont="1" applyFill="1" applyBorder="1" applyAlignment="1">
      <alignment horizontal="left" vertical="center"/>
    </xf>
    <xf numFmtId="0" fontId="5" fillId="37" borderId="10" xfId="0" applyFont="1" applyFill="1" applyBorder="1" applyAlignment="1">
      <alignment horizontal="left" vertical="center"/>
    </xf>
    <xf numFmtId="0" fontId="3" fillId="34" borderId="10" xfId="0" applyFont="1" applyFill="1" applyBorder="1" applyAlignment="1">
      <alignment horizontal="left" vertical="center"/>
    </xf>
    <xf numFmtId="0" fontId="3" fillId="38" borderId="1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36" borderId="18" xfId="0" applyFont="1" applyFill="1" applyBorder="1" applyAlignment="1">
      <alignment horizontal="center" vertical="center"/>
    </xf>
    <xf numFmtId="0" fontId="4" fillId="36" borderId="18" xfId="0" applyFont="1" applyFill="1" applyBorder="1" applyAlignment="1">
      <alignment vertical="center"/>
    </xf>
    <xf numFmtId="0" fontId="4" fillId="36" borderId="11" xfId="0" applyFont="1" applyFill="1" applyBorder="1" applyAlignment="1">
      <alignment vertical="center"/>
    </xf>
    <xf numFmtId="0" fontId="2" fillId="33" borderId="21" xfId="0" applyFont="1" applyFill="1" applyBorder="1" applyAlignment="1">
      <alignment horizontal="left"/>
    </xf>
    <xf numFmtId="0" fontId="22" fillId="33" borderId="24" xfId="0" applyFont="1" applyFill="1" applyBorder="1"/>
    <xf numFmtId="0" fontId="22" fillId="33" borderId="25" xfId="0" applyFont="1" applyFill="1" applyBorder="1"/>
    <xf numFmtId="0" fontId="23" fillId="41" borderId="26" xfId="0" applyFont="1" applyFill="1" applyBorder="1" applyAlignment="1">
      <alignment horizontal="center" vertical="center" wrapText="1"/>
    </xf>
    <xf numFmtId="0" fontId="23" fillId="41" borderId="26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20" fontId="0" fillId="36" borderId="10" xfId="0" applyNumberFormat="1" applyFill="1" applyBorder="1" applyAlignment="1">
      <alignment horizontal="center"/>
    </xf>
    <xf numFmtId="1" fontId="0" fillId="36" borderId="10" xfId="0" applyNumberFormat="1" applyFill="1" applyBorder="1" applyAlignment="1">
      <alignment horizontal="center" vertical="center"/>
    </xf>
    <xf numFmtId="0" fontId="3" fillId="37" borderId="27" xfId="0" applyFont="1" applyFill="1" applyBorder="1" applyAlignment="1">
      <alignment horizontal="center"/>
    </xf>
    <xf numFmtId="0" fontId="0" fillId="36" borderId="26" xfId="0" applyFill="1" applyBorder="1" applyAlignment="1">
      <alignment horizontal="center"/>
    </xf>
    <xf numFmtId="0" fontId="3" fillId="36" borderId="10" xfId="0" applyFont="1" applyFill="1" applyBorder="1"/>
    <xf numFmtId="0" fontId="3" fillId="36" borderId="27" xfId="0" applyFont="1" applyFill="1" applyBorder="1"/>
    <xf numFmtId="0" fontId="0" fillId="36" borderId="10" xfId="0" applyFill="1" applyBorder="1" applyAlignment="1">
      <alignment horizontal="center"/>
    </xf>
    <xf numFmtId="0" fontId="0" fillId="36" borderId="0" xfId="0" applyFill="1"/>
    <xf numFmtId="0" fontId="0" fillId="36" borderId="26" xfId="0" applyFill="1" applyBorder="1" applyAlignment="1">
      <alignment horizontal="center" vertical="center"/>
    </xf>
    <xf numFmtId="0" fontId="0" fillId="36" borderId="26" xfId="0" applyFill="1" applyBorder="1" applyAlignment="1">
      <alignment vertical="center" wrapText="1"/>
    </xf>
    <xf numFmtId="0" fontId="3" fillId="36" borderId="26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6" borderId="10" xfId="0" applyFill="1" applyBorder="1" applyAlignment="1">
      <alignment horizontal="left"/>
    </xf>
    <xf numFmtId="20" fontId="0" fillId="34" borderId="10" xfId="0" applyNumberFormat="1" applyFill="1" applyBorder="1" applyAlignment="1">
      <alignment horizontal="center"/>
    </xf>
    <xf numFmtId="1" fontId="0" fillId="34" borderId="10" xfId="0" applyNumberForma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20" fontId="0" fillId="38" borderId="10" xfId="0" applyNumberFormat="1" applyFill="1" applyBorder="1" applyAlignment="1">
      <alignment horizontal="center"/>
    </xf>
    <xf numFmtId="1" fontId="0" fillId="38" borderId="10" xfId="0" applyNumberFormat="1" applyFill="1" applyBorder="1" applyAlignment="1">
      <alignment horizontal="center" vertical="center"/>
    </xf>
    <xf numFmtId="0" fontId="3" fillId="39" borderId="27" xfId="0" applyFont="1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1" fontId="0" fillId="36" borderId="10" xfId="0" applyNumberFormat="1" applyFill="1" applyBorder="1" applyAlignment="1">
      <alignment horizontal="center" vertical="center" wrapText="1"/>
    </xf>
    <xf numFmtId="0" fontId="3" fillId="36" borderId="10" xfId="0" applyFont="1" applyFill="1" applyBorder="1" applyAlignment="1">
      <alignment wrapText="1"/>
    </xf>
    <xf numFmtId="0" fontId="3" fillId="36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37" borderId="10" xfId="0" applyFont="1" applyFill="1" applyBorder="1" applyAlignment="1">
      <alignment horizontal="center" vertical="center" wrapText="1"/>
    </xf>
    <xf numFmtId="0" fontId="0" fillId="36" borderId="26" xfId="0" applyFill="1" applyBorder="1" applyAlignment="1">
      <alignment horizontal="center" vertical="center" wrapText="1"/>
    </xf>
    <xf numFmtId="20" fontId="0" fillId="0" borderId="0" xfId="0" applyNumberFormat="1"/>
    <xf numFmtId="14" fontId="0" fillId="0" borderId="0" xfId="0" applyNumberFormat="1"/>
    <xf numFmtId="0" fontId="23" fillId="36" borderId="26" xfId="0" applyFont="1" applyFill="1" applyBorder="1" applyAlignment="1">
      <alignment vertical="center" wrapText="1"/>
    </xf>
    <xf numFmtId="0" fontId="4" fillId="36" borderId="10" xfId="0" applyFont="1" applyFill="1" applyBorder="1" applyAlignment="1">
      <alignment horizontal="left" vertical="center" wrapText="1"/>
    </xf>
    <xf numFmtId="14" fontId="0" fillId="36" borderId="10" xfId="0" applyNumberFormat="1" applyFill="1" applyBorder="1" applyAlignment="1">
      <alignment horizontal="center" vertical="center" wrapText="1"/>
    </xf>
    <xf numFmtId="0" fontId="3" fillId="37" borderId="10" xfId="0" applyFont="1" applyFill="1" applyBorder="1" applyAlignment="1">
      <alignment horizontal="left" vertical="center" wrapText="1"/>
    </xf>
    <xf numFmtId="1" fontId="0" fillId="36" borderId="10" xfId="0" applyNumberFormat="1" applyFill="1" applyBorder="1" applyAlignment="1">
      <alignment horizontal="left" vertical="center" wrapText="1"/>
    </xf>
    <xf numFmtId="0" fontId="0" fillId="0" borderId="10" xfId="0" applyBorder="1"/>
    <xf numFmtId="1" fontId="0" fillId="36" borderId="10" xfId="0" applyNumberFormat="1" applyFill="1" applyBorder="1" applyAlignment="1">
      <alignment horizontal="left" vertical="center"/>
    </xf>
    <xf numFmtId="0" fontId="0" fillId="34" borderId="10" xfId="0" applyFill="1" applyBorder="1" applyAlignment="1">
      <alignment horizontal="left"/>
    </xf>
    <xf numFmtId="0" fontId="0" fillId="34" borderId="10" xfId="0" applyFill="1" applyBorder="1" applyAlignment="1">
      <alignment horizontal="left" vertical="center" wrapText="1"/>
    </xf>
    <xf numFmtId="1" fontId="0" fillId="38" borderId="10" xfId="0" applyNumberFormat="1" applyFill="1" applyBorder="1" applyAlignment="1">
      <alignment horizontal="left" vertical="center"/>
    </xf>
    <xf numFmtId="0" fontId="3" fillId="43" borderId="10" xfId="0" applyFont="1" applyFill="1" applyBorder="1" applyAlignment="1">
      <alignment horizontal="center"/>
    </xf>
    <xf numFmtId="0" fontId="3" fillId="43" borderId="10" xfId="0" applyFont="1" applyFill="1" applyBorder="1" applyAlignment="1">
      <alignment horizontal="left"/>
    </xf>
    <xf numFmtId="0" fontId="4" fillId="43" borderId="10" xfId="0" applyFont="1" applyFill="1" applyBorder="1" applyAlignment="1">
      <alignment horizontal="center" vertical="center" wrapText="1"/>
    </xf>
    <xf numFmtId="14" fontId="25" fillId="43" borderId="29" xfId="0" applyNumberFormat="1" applyFont="1" applyFill="1" applyBorder="1" applyAlignment="1">
      <alignment horizontal="center" vertical="center"/>
    </xf>
    <xf numFmtId="21" fontId="25" fillId="43" borderId="29" xfId="0" applyNumberFormat="1" applyFont="1" applyFill="1" applyBorder="1" applyAlignment="1">
      <alignment horizontal="center" vertical="center" wrapText="1"/>
    </xf>
    <xf numFmtId="20" fontId="0" fillId="43" borderId="10" xfId="0" applyNumberFormat="1" applyFill="1" applyBorder="1" applyAlignment="1">
      <alignment horizontal="center"/>
    </xf>
    <xf numFmtId="1" fontId="0" fillId="43" borderId="10" xfId="0" applyNumberFormat="1" applyFill="1" applyBorder="1" applyAlignment="1">
      <alignment horizontal="center" vertical="center"/>
    </xf>
    <xf numFmtId="0" fontId="4" fillId="43" borderId="29" xfId="0" applyFont="1" applyFill="1" applyBorder="1" applyAlignment="1">
      <alignment horizontal="center" vertical="center"/>
    </xf>
    <xf numFmtId="0" fontId="25" fillId="43" borderId="29" xfId="0" applyFont="1" applyFill="1" applyBorder="1" applyAlignment="1">
      <alignment horizontal="center" vertical="center"/>
    </xf>
    <xf numFmtId="1" fontId="0" fillId="43" borderId="10" xfId="0" applyNumberFormat="1" applyFill="1" applyBorder="1" applyAlignment="1">
      <alignment horizontal="left" vertical="center"/>
    </xf>
    <xf numFmtId="0" fontId="25" fillId="43" borderId="29" xfId="0" applyFont="1" applyFill="1" applyBorder="1" applyAlignment="1">
      <alignment horizontal="left" vertical="center"/>
    </xf>
    <xf numFmtId="0" fontId="3" fillId="40" borderId="10" xfId="0" applyFont="1" applyFill="1" applyBorder="1"/>
    <xf numFmtId="0" fontId="0" fillId="43" borderId="10" xfId="0" applyFill="1" applyBorder="1" applyAlignment="1">
      <alignment horizontal="center"/>
    </xf>
    <xf numFmtId="0" fontId="0" fillId="43" borderId="0" xfId="0" applyFill="1"/>
    <xf numFmtId="0" fontId="26" fillId="46" borderId="25" xfId="0" applyFont="1" applyFill="1" applyBorder="1" applyAlignment="1">
      <alignment horizontal="center" vertical="center"/>
    </xf>
    <xf numFmtId="0" fontId="26" fillId="46" borderId="31" xfId="0" applyFont="1" applyFill="1" applyBorder="1" applyAlignment="1">
      <alignment horizontal="center" vertical="center"/>
    </xf>
    <xf numFmtId="0" fontId="27" fillId="46" borderId="31" xfId="0" applyFont="1" applyFill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29" xfId="0" applyFont="1" applyBorder="1" applyAlignment="1">
      <alignment vertical="center"/>
    </xf>
    <xf numFmtId="1" fontId="26" fillId="46" borderId="30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46" borderId="0" xfId="0" applyFill="1"/>
    <xf numFmtId="21" fontId="0" fillId="36" borderId="10" xfId="0" applyNumberFormat="1" applyFill="1" applyBorder="1" applyAlignment="1">
      <alignment horizontal="center"/>
    </xf>
    <xf numFmtId="0" fontId="0" fillId="0" borderId="0" xfId="0" applyAlignment="1">
      <alignment vertical="center" wrapText="1"/>
    </xf>
    <xf numFmtId="0" fontId="31" fillId="0" borderId="0" xfId="0" applyFont="1"/>
    <xf numFmtId="1" fontId="0" fillId="34" borderId="10" xfId="0" applyNumberFormat="1" applyFill="1" applyBorder="1" applyAlignment="1">
      <alignment horizontal="left" vertical="center" wrapText="1"/>
    </xf>
    <xf numFmtId="0" fontId="23" fillId="41" borderId="26" xfId="0" applyFont="1" applyFill="1" applyBorder="1" applyAlignment="1">
      <alignment horizontal="center" vertical="center"/>
    </xf>
    <xf numFmtId="0" fontId="23" fillId="36" borderId="26" xfId="0" applyFont="1" applyFill="1" applyBorder="1" applyAlignment="1">
      <alignment vertical="center"/>
    </xf>
    <xf numFmtId="164" fontId="0" fillId="36" borderId="10" xfId="0" applyNumberFormat="1" applyFill="1" applyBorder="1" applyAlignment="1">
      <alignment horizontal="center" vertical="center"/>
    </xf>
    <xf numFmtId="0" fontId="0" fillId="36" borderId="26" xfId="0" applyFill="1" applyBorder="1" applyAlignment="1">
      <alignment vertical="center"/>
    </xf>
    <xf numFmtId="14" fontId="0" fillId="34" borderId="10" xfId="0" applyNumberFormat="1" applyFill="1" applyBorder="1" applyAlignment="1">
      <alignment horizontal="center" vertical="center"/>
    </xf>
    <xf numFmtId="164" fontId="0" fillId="34" borderId="10" xfId="0" applyNumberFormat="1" applyFill="1" applyBorder="1" applyAlignment="1">
      <alignment horizontal="center" vertical="center"/>
    </xf>
    <xf numFmtId="0" fontId="0" fillId="34" borderId="10" xfId="0" applyFill="1" applyBorder="1" applyAlignment="1">
      <alignment horizontal="left" vertical="center"/>
    </xf>
    <xf numFmtId="164" fontId="0" fillId="38" borderId="10" xfId="0" applyNumberFormat="1" applyFill="1" applyBorder="1" applyAlignment="1">
      <alignment horizontal="center" vertical="center"/>
    </xf>
    <xf numFmtId="0" fontId="4" fillId="43" borderId="10" xfId="0" applyFont="1" applyFill="1" applyBorder="1" applyAlignment="1">
      <alignment horizontal="center" vertical="center"/>
    </xf>
    <xf numFmtId="21" fontId="25" fillId="43" borderId="29" xfId="0" applyNumberFormat="1" applyFont="1" applyFill="1" applyBorder="1" applyAlignment="1">
      <alignment horizontal="center" vertical="center"/>
    </xf>
    <xf numFmtId="1" fontId="0" fillId="34" borderId="10" xfId="0" applyNumberFormat="1" applyFill="1" applyBorder="1" applyAlignment="1">
      <alignment horizontal="left" vertical="center"/>
    </xf>
    <xf numFmtId="0" fontId="24" fillId="0" borderId="10" xfId="0" applyFont="1" applyBorder="1" applyAlignment="1">
      <alignment horizontal="center"/>
    </xf>
    <xf numFmtId="0" fontId="24" fillId="0" borderId="10" xfId="0" applyFont="1" applyBorder="1"/>
    <xf numFmtId="1" fontId="28" fillId="44" borderId="41" xfId="0" applyNumberFormat="1" applyFont="1" applyFill="1" applyBorder="1" applyAlignment="1">
      <alignment horizontal="center" vertical="center"/>
    </xf>
    <xf numFmtId="0" fontId="28" fillId="45" borderId="20" xfId="0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47" borderId="20" xfId="0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2" fontId="32" fillId="0" borderId="28" xfId="0" applyNumberFormat="1" applyFont="1" applyBorder="1" applyAlignment="1">
      <alignment vertical="center"/>
    </xf>
    <xf numFmtId="2" fontId="33" fillId="0" borderId="29" xfId="0" applyNumberFormat="1" applyFont="1" applyBorder="1" applyAlignment="1">
      <alignment horizontal="center" vertical="center"/>
    </xf>
    <xf numFmtId="0" fontId="34" fillId="48" borderId="25" xfId="0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/>
    </xf>
    <xf numFmtId="1" fontId="34" fillId="48" borderId="30" xfId="0" applyNumberFormat="1" applyFont="1" applyFill="1" applyBorder="1" applyAlignment="1">
      <alignment vertical="center"/>
    </xf>
    <xf numFmtId="1" fontId="32" fillId="0" borderId="28" xfId="0" applyNumberFormat="1" applyFont="1" applyBorder="1" applyAlignment="1">
      <alignment vertical="center"/>
    </xf>
    <xf numFmtId="0" fontId="2" fillId="40" borderId="10" xfId="0" applyFont="1" applyFill="1" applyBorder="1" applyAlignment="1">
      <alignment wrapText="1"/>
    </xf>
    <xf numFmtId="0" fontId="2" fillId="33" borderId="10" xfId="0" applyFont="1" applyFill="1" applyBorder="1" applyAlignment="1">
      <alignment horizontal="center"/>
    </xf>
    <xf numFmtId="0" fontId="2" fillId="33" borderId="10" xfId="0" applyFont="1" applyFill="1" applyBorder="1" applyAlignment="1">
      <alignment horizontal="left"/>
    </xf>
    <xf numFmtId="0" fontId="2" fillId="33" borderId="10" xfId="0" applyFont="1" applyFill="1" applyBorder="1" applyAlignment="1"/>
    <xf numFmtId="0" fontId="4" fillId="36" borderId="12" xfId="0" applyFont="1" applyFill="1" applyBorder="1" applyAlignment="1">
      <alignment vertical="center"/>
    </xf>
    <xf numFmtId="0" fontId="4" fillId="36" borderId="13" xfId="0" applyFont="1" applyFill="1" applyBorder="1" applyAlignment="1">
      <alignment vertical="center"/>
    </xf>
    <xf numFmtId="0" fontId="2" fillId="33" borderId="22" xfId="0" applyFont="1" applyFill="1" applyBorder="1" applyAlignment="1">
      <alignment horizontal="left"/>
    </xf>
    <xf numFmtId="0" fontId="2" fillId="33" borderId="23" xfId="0" applyFont="1" applyFill="1" applyBorder="1" applyAlignment="1">
      <alignment horizontal="left"/>
    </xf>
    <xf numFmtId="0" fontId="24" fillId="42" borderId="10" xfId="0" applyFont="1" applyFill="1" applyBorder="1" applyAlignment="1">
      <alignment horizontal="center" vertical="center"/>
    </xf>
    <xf numFmtId="0" fontId="4" fillId="36" borderId="19" xfId="0" applyFont="1" applyFill="1" applyBorder="1" applyAlignment="1">
      <alignment horizontal="center" vertical="center"/>
    </xf>
    <xf numFmtId="0" fontId="4" fillId="36" borderId="20" xfId="0" applyFont="1" applyFill="1" applyBorder="1" applyAlignment="1">
      <alignment horizontal="center" vertical="center"/>
    </xf>
    <xf numFmtId="0" fontId="4" fillId="36" borderId="14" xfId="0" applyFont="1" applyFill="1" applyBorder="1" applyAlignment="1">
      <alignment horizontal="center" vertical="center"/>
    </xf>
    <xf numFmtId="0" fontId="4" fillId="36" borderId="15" xfId="0" applyFont="1" applyFill="1" applyBorder="1" applyAlignment="1">
      <alignment horizontal="center" vertical="center"/>
    </xf>
    <xf numFmtId="0" fontId="4" fillId="36" borderId="16" xfId="0" applyFont="1" applyFill="1" applyBorder="1" applyAlignment="1">
      <alignment horizontal="center" vertical="center"/>
    </xf>
    <xf numFmtId="0" fontId="4" fillId="36" borderId="17" xfId="0" applyFont="1" applyFill="1" applyBorder="1" applyAlignment="1">
      <alignment horizontal="center" vertical="center"/>
    </xf>
    <xf numFmtId="0" fontId="22" fillId="40" borderId="24" xfId="0" applyFont="1" applyFill="1" applyBorder="1" applyAlignment="1">
      <alignment horizontal="left"/>
    </xf>
    <xf numFmtId="0" fontId="22" fillId="40" borderId="23" xfId="0" applyFont="1" applyFill="1" applyBorder="1" applyAlignment="1">
      <alignment horizontal="left"/>
    </xf>
    <xf numFmtId="0" fontId="22" fillId="40" borderId="25" xfId="0" applyFont="1" applyFill="1" applyBorder="1" applyAlignment="1">
      <alignment horizontal="left"/>
    </xf>
    <xf numFmtId="0" fontId="28" fillId="0" borderId="33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1" fontId="28" fillId="47" borderId="33" xfId="0" applyNumberFormat="1" applyFont="1" applyFill="1" applyBorder="1" applyAlignment="1">
      <alignment horizontal="center" vertical="center"/>
    </xf>
    <xf numFmtId="1" fontId="28" fillId="47" borderId="28" xfId="0" applyNumberFormat="1" applyFont="1" applyFill="1" applyBorder="1" applyAlignment="1">
      <alignment horizontal="center" vertical="center"/>
    </xf>
    <xf numFmtId="0" fontId="28" fillId="47" borderId="33" xfId="0" applyFont="1" applyFill="1" applyBorder="1" applyAlignment="1">
      <alignment horizontal="center" vertical="center"/>
    </xf>
    <xf numFmtId="0" fontId="28" fillId="47" borderId="28" xfId="0" applyFont="1" applyFill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47" borderId="40" xfId="0" applyFont="1" applyFill="1" applyBorder="1" applyAlignment="1">
      <alignment horizontal="center" vertical="center"/>
    </xf>
    <xf numFmtId="0" fontId="28" fillId="47" borderId="35" xfId="0" applyFont="1" applyFill="1" applyBorder="1" applyAlignment="1">
      <alignment horizontal="center" vertical="center"/>
    </xf>
    <xf numFmtId="0" fontId="28" fillId="47" borderId="34" xfId="0" applyFont="1" applyFill="1" applyBorder="1" applyAlignment="1">
      <alignment horizontal="center" vertical="center"/>
    </xf>
    <xf numFmtId="0" fontId="28" fillId="0" borderId="38" xfId="0" applyFont="1" applyBorder="1" applyAlignment="1">
      <alignment vertical="center"/>
    </xf>
    <xf numFmtId="0" fontId="28" fillId="0" borderId="39" xfId="0" applyFont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" fillId="40" borderId="10" xfId="0" applyFont="1" applyFill="1" applyBorder="1" applyAlignment="1"/>
    <xf numFmtId="0" fontId="0" fillId="49" borderId="10" xfId="0" applyFill="1" applyBorder="1" applyAlignment="1">
      <alignment horizontal="center"/>
    </xf>
    <xf numFmtId="0" fontId="24" fillId="49" borderId="10" xfId="0" applyFont="1" applyFill="1" applyBorder="1"/>
    <xf numFmtId="0" fontId="24" fillId="50" borderId="10" xfId="0" applyFont="1" applyFill="1" applyBorder="1"/>
    <xf numFmtId="0" fontId="0" fillId="50" borderId="10" xfId="0" applyFill="1" applyBorder="1" applyAlignment="1">
      <alignment horizontal="center"/>
    </xf>
    <xf numFmtId="0" fontId="24" fillId="51" borderId="10" xfId="0" applyFont="1" applyFill="1" applyBorder="1"/>
    <xf numFmtId="0" fontId="0" fillId="51" borderId="10" xfId="0" applyFill="1" applyBorder="1" applyAlignment="1">
      <alignment horizontal="center"/>
    </xf>
  </cellXfs>
  <cellStyles count="43">
    <cellStyle name="20% - Accent1 2" xfId="20" xr:uid="{00000000-0005-0000-0000-00002F000000}"/>
    <cellStyle name="20% - Accent2 2" xfId="24" xr:uid="{00000000-0005-0000-0000-000030000000}"/>
    <cellStyle name="20% - Accent3 2" xfId="28" xr:uid="{00000000-0005-0000-0000-000031000000}"/>
    <cellStyle name="20% - Accent4 2" xfId="32" xr:uid="{00000000-0005-0000-0000-000032000000}"/>
    <cellStyle name="20% - Accent5 2" xfId="36" xr:uid="{00000000-0005-0000-0000-000033000000}"/>
    <cellStyle name="20% - Accent6 2" xfId="40" xr:uid="{00000000-0005-0000-0000-000034000000}"/>
    <cellStyle name="40% - Accent1 2" xfId="21" xr:uid="{00000000-0005-0000-0000-000035000000}"/>
    <cellStyle name="40% - Accent2 2" xfId="25" xr:uid="{00000000-0005-0000-0000-000036000000}"/>
    <cellStyle name="40% - Accent3 2" xfId="29" xr:uid="{00000000-0005-0000-0000-000037000000}"/>
    <cellStyle name="40% - Accent4 2" xfId="33" xr:uid="{00000000-0005-0000-0000-000038000000}"/>
    <cellStyle name="40% - Accent5 2" xfId="37" xr:uid="{00000000-0005-0000-0000-000039000000}"/>
    <cellStyle name="40% - Accent6 2" xfId="41" xr:uid="{00000000-0005-0000-0000-00003A000000}"/>
    <cellStyle name="60% - Accent1 2" xfId="22" xr:uid="{00000000-0005-0000-0000-00003B000000}"/>
    <cellStyle name="60% - Accent2 2" xfId="26" xr:uid="{00000000-0005-0000-0000-00003C000000}"/>
    <cellStyle name="60% - Accent3 2" xfId="30" xr:uid="{00000000-0005-0000-0000-00003D000000}"/>
    <cellStyle name="60% - Accent4 2" xfId="34" xr:uid="{00000000-0005-0000-0000-00003E000000}"/>
    <cellStyle name="60% - Accent5 2" xfId="38" xr:uid="{00000000-0005-0000-0000-00003F000000}"/>
    <cellStyle name="60% - Accent6 2" xfId="42" xr:uid="{00000000-0005-0000-0000-000040000000}"/>
    <cellStyle name="Accent1 2" xfId="19" xr:uid="{00000000-0005-0000-0000-000041000000}"/>
    <cellStyle name="Accent2 2" xfId="23" xr:uid="{00000000-0005-0000-0000-000042000000}"/>
    <cellStyle name="Accent3 2" xfId="27" xr:uid="{00000000-0005-0000-0000-000043000000}"/>
    <cellStyle name="Accent4 2" xfId="31" xr:uid="{00000000-0005-0000-0000-000044000000}"/>
    <cellStyle name="Accent5 2" xfId="35" xr:uid="{00000000-0005-0000-0000-000045000000}"/>
    <cellStyle name="Accent6 2" xfId="39" xr:uid="{00000000-0005-0000-0000-000046000000}"/>
    <cellStyle name="Bad 2" xfId="8" xr:uid="{00000000-0005-0000-0000-000047000000}"/>
    <cellStyle name="Calculation 2" xfId="12" xr:uid="{00000000-0005-0000-0000-000048000000}"/>
    <cellStyle name="Check Cell 2" xfId="14" xr:uid="{00000000-0005-0000-0000-000049000000}"/>
    <cellStyle name="Explanatory Text 2" xfId="17" xr:uid="{00000000-0005-0000-0000-00004A000000}"/>
    <cellStyle name="Good 2" xfId="7" xr:uid="{00000000-0005-0000-0000-00004B000000}"/>
    <cellStyle name="Heading 1 2" xfId="3" xr:uid="{00000000-0005-0000-0000-00004C000000}"/>
    <cellStyle name="Heading 2 2" xfId="4" xr:uid="{00000000-0005-0000-0000-00004D000000}"/>
    <cellStyle name="Heading 3 2" xfId="5" xr:uid="{00000000-0005-0000-0000-00004E000000}"/>
    <cellStyle name="Heading 4 2" xfId="6" xr:uid="{00000000-0005-0000-0000-00004F000000}"/>
    <cellStyle name="Input 2" xfId="10" xr:uid="{00000000-0005-0000-0000-000050000000}"/>
    <cellStyle name="Linked Cell 2" xfId="13" xr:uid="{00000000-0005-0000-0000-000051000000}"/>
    <cellStyle name="Neutral 2" xfId="9" xr:uid="{00000000-0005-0000-0000-000052000000}"/>
    <cellStyle name="Normal" xfId="0" builtinId="0"/>
    <cellStyle name="Normal 2" xfId="2" xr:uid="{00000000-0005-0000-0000-000053000000}"/>
    <cellStyle name="Note 2" xfId="16" xr:uid="{00000000-0005-0000-0000-000054000000}"/>
    <cellStyle name="Output 2" xfId="11" xr:uid="{00000000-0005-0000-0000-000055000000}"/>
    <cellStyle name="Title" xfId="1" builtinId="15" customBuiltin="1"/>
    <cellStyle name="Total 2" xfId="18" xr:uid="{00000000-0005-0000-0000-000056000000}"/>
    <cellStyle name="Warning Text 2" xfId="15" xr:uid="{00000000-0005-0000-0000-000057000000}"/>
  </cellStyles>
  <dxfs count="3"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6B15-B2F1-409A-BF12-9CA7F69F2A1E}">
  <sheetPr filterMode="1"/>
  <dimension ref="A1:S69"/>
  <sheetViews>
    <sheetView topLeftCell="C27" zoomScaleNormal="100" workbookViewId="0">
      <selection activeCell="I42" sqref="I42"/>
    </sheetView>
  </sheetViews>
  <sheetFormatPr defaultColWidth="13" defaultRowHeight="13.8"/>
  <cols>
    <col min="1" max="1" width="9.5546875" bestFit="1" customWidth="1"/>
    <col min="2" max="2" width="10.33203125" customWidth="1"/>
    <col min="3" max="3" width="39.44140625" style="30" customWidth="1"/>
    <col min="4" max="4" width="10.5546875" customWidth="1"/>
    <col min="5" max="5" width="16" customWidth="1"/>
    <col min="6" max="6" width="11.6640625" bestFit="1" customWidth="1"/>
    <col min="7" max="7" width="7.44140625" customWidth="1"/>
    <col min="8" max="8" width="20.33203125" customWidth="1"/>
    <col min="9" max="9" width="16.6640625" bestFit="1" customWidth="1"/>
    <col min="10" max="10" width="13" customWidth="1"/>
    <col min="11" max="11" width="17.109375" customWidth="1"/>
    <col min="12" max="13" width="11.88671875" bestFit="1" customWidth="1"/>
    <col min="14" max="14" width="18.6640625" customWidth="1"/>
    <col min="15" max="15" width="17" customWidth="1"/>
    <col min="16" max="16" width="16.5546875" customWidth="1"/>
    <col min="17" max="17" width="13" style="39"/>
  </cols>
  <sheetData>
    <row r="1" spans="1:17" ht="14.4">
      <c r="A1" s="133" t="s">
        <v>0</v>
      </c>
      <c r="B1" s="133" t="s">
        <v>1</v>
      </c>
      <c r="C1" s="134" t="s">
        <v>2</v>
      </c>
      <c r="D1" s="133"/>
      <c r="E1" s="133"/>
      <c r="F1" s="133"/>
      <c r="G1" s="133"/>
      <c r="H1" s="133"/>
      <c r="I1" s="133"/>
      <c r="J1" s="133"/>
      <c r="K1" s="133"/>
      <c r="L1" s="133"/>
      <c r="M1" s="3"/>
    </row>
    <row r="2" spans="1:17" ht="14.1" customHeight="1">
      <c r="A2" s="133"/>
      <c r="B2" s="133"/>
      <c r="C2" s="134"/>
      <c r="D2" s="133" t="s">
        <v>3</v>
      </c>
      <c r="E2" s="4" t="s">
        <v>4</v>
      </c>
      <c r="F2" s="5" t="s">
        <v>4</v>
      </c>
      <c r="G2" s="135" t="s">
        <v>5</v>
      </c>
      <c r="H2" s="133" t="s">
        <v>6</v>
      </c>
      <c r="I2" s="133" t="s">
        <v>7</v>
      </c>
      <c r="J2" s="133" t="s">
        <v>8</v>
      </c>
      <c r="K2" s="134" t="s">
        <v>9</v>
      </c>
      <c r="L2" s="134" t="s">
        <v>10</v>
      </c>
      <c r="M2" s="135" t="s">
        <v>11</v>
      </c>
      <c r="N2" s="135" t="s">
        <v>12</v>
      </c>
      <c r="O2" s="132" t="s">
        <v>13</v>
      </c>
      <c r="P2" s="132" t="s">
        <v>14</v>
      </c>
      <c r="Q2" s="140" t="s">
        <v>15</v>
      </c>
    </row>
    <row r="3" spans="1:17" ht="28.5" customHeight="1">
      <c r="A3" s="133"/>
      <c r="B3" s="133"/>
      <c r="C3" s="134"/>
      <c r="D3" s="133"/>
      <c r="E3" s="4" t="s">
        <v>16</v>
      </c>
      <c r="F3" s="5" t="s">
        <v>17</v>
      </c>
      <c r="G3" s="135"/>
      <c r="H3" s="133"/>
      <c r="I3" s="133"/>
      <c r="J3" s="133"/>
      <c r="K3" s="134"/>
      <c r="L3" s="134"/>
      <c r="M3" s="135"/>
      <c r="N3" s="135"/>
      <c r="O3" s="132"/>
      <c r="P3" s="132"/>
      <c r="Q3" s="140"/>
    </row>
    <row r="4" spans="1:17" ht="28.8">
      <c r="A4" s="8" t="s">
        <v>18</v>
      </c>
      <c r="B4" s="37" t="s">
        <v>19</v>
      </c>
      <c r="C4" s="69" t="s">
        <v>20</v>
      </c>
      <c r="D4" s="11" t="s">
        <v>21</v>
      </c>
      <c r="E4" s="9">
        <v>46195</v>
      </c>
      <c r="F4" s="10">
        <v>0.71458333333333335</v>
      </c>
      <c r="G4" s="40">
        <v>4.1666666666666664E-2</v>
      </c>
      <c r="H4" s="61">
        <v>9916349635</v>
      </c>
      <c r="I4" s="42">
        <v>9986206416</v>
      </c>
      <c r="J4" s="43"/>
      <c r="K4" s="75">
        <v>9916349635</v>
      </c>
      <c r="L4" s="75" t="s">
        <v>22</v>
      </c>
      <c r="M4" s="44"/>
      <c r="N4" s="45"/>
      <c r="O4" s="46"/>
      <c r="P4" s="47"/>
      <c r="Q4" s="46"/>
    </row>
    <row r="5" spans="1:17" ht="28.8" hidden="1">
      <c r="A5" s="8" t="s">
        <v>23</v>
      </c>
      <c r="B5" s="37" t="s">
        <v>19</v>
      </c>
      <c r="C5" s="38" t="s">
        <v>24</v>
      </c>
      <c r="D5" s="8" t="s">
        <v>25</v>
      </c>
      <c r="E5" s="9"/>
      <c r="F5" s="10"/>
      <c r="G5" s="14"/>
      <c r="H5" s="61">
        <v>9986294061</v>
      </c>
      <c r="I5" s="7"/>
      <c r="J5" s="7"/>
      <c r="K5" s="73"/>
      <c r="L5" s="61"/>
      <c r="M5" s="12"/>
      <c r="N5" s="12"/>
      <c r="O5" s="12"/>
      <c r="P5" s="12"/>
      <c r="Q5" s="51"/>
    </row>
    <row r="6" spans="1:17" ht="28.8">
      <c r="A6" s="8" t="s">
        <v>26</v>
      </c>
      <c r="B6" s="37" t="s">
        <v>19</v>
      </c>
      <c r="C6" s="69" t="s">
        <v>27</v>
      </c>
      <c r="D6" s="11" t="s">
        <v>21</v>
      </c>
      <c r="E6" s="9">
        <v>46195</v>
      </c>
      <c r="F6" s="10">
        <v>0.72013888888888888</v>
      </c>
      <c r="G6" s="40">
        <v>4.1666666666666664E-2</v>
      </c>
      <c r="H6" s="61">
        <v>9916349635</v>
      </c>
      <c r="I6" s="42">
        <v>9986206416</v>
      </c>
      <c r="J6" s="48"/>
      <c r="K6" s="75" t="s">
        <v>22</v>
      </c>
      <c r="L6" s="75">
        <v>9916349635</v>
      </c>
      <c r="M6" s="12"/>
      <c r="N6" s="12"/>
      <c r="O6" s="12"/>
      <c r="P6" s="12"/>
      <c r="Q6" s="46"/>
    </row>
    <row r="7" spans="1:17" ht="28.8" hidden="1">
      <c r="A7" s="8" t="s">
        <v>28</v>
      </c>
      <c r="B7" s="37" t="s">
        <v>19</v>
      </c>
      <c r="C7" s="38" t="s">
        <v>29</v>
      </c>
      <c r="D7" s="8" t="s">
        <v>25</v>
      </c>
      <c r="E7" s="9"/>
      <c r="F7" s="10"/>
      <c r="G7" s="14"/>
      <c r="H7" s="61">
        <v>9986294061</v>
      </c>
      <c r="I7" s="7"/>
      <c r="J7" s="7"/>
      <c r="K7" s="7"/>
      <c r="L7" s="61"/>
      <c r="M7" s="12"/>
      <c r="N7" s="12"/>
      <c r="O7" s="12"/>
      <c r="P7" s="12"/>
      <c r="Q7" s="51"/>
    </row>
    <row r="8" spans="1:17" ht="28.8">
      <c r="A8" s="8" t="s">
        <v>30</v>
      </c>
      <c r="B8" s="37" t="s">
        <v>19</v>
      </c>
      <c r="C8" s="69" t="s">
        <v>31</v>
      </c>
      <c r="D8" s="11" t="s">
        <v>21</v>
      </c>
      <c r="E8" s="9">
        <v>46195</v>
      </c>
      <c r="F8" s="10">
        <v>0.72083333333333333</v>
      </c>
      <c r="G8" s="40">
        <v>4.1666666666666664E-2</v>
      </c>
      <c r="H8" s="61">
        <v>9916349635</v>
      </c>
      <c r="I8" s="42">
        <v>9986206416</v>
      </c>
      <c r="J8" s="48"/>
      <c r="K8" s="75">
        <v>9916349635</v>
      </c>
      <c r="L8" s="75">
        <v>9689311089</v>
      </c>
      <c r="M8" s="12"/>
      <c r="N8" s="12"/>
      <c r="O8" s="12"/>
      <c r="P8" s="12"/>
      <c r="Q8" s="46"/>
    </row>
    <row r="9" spans="1:17" ht="28.8" hidden="1">
      <c r="A9" s="8" t="s">
        <v>32</v>
      </c>
      <c r="B9" s="37" t="s">
        <v>19</v>
      </c>
      <c r="C9" s="38" t="s">
        <v>33</v>
      </c>
      <c r="D9" s="8" t="s">
        <v>25</v>
      </c>
      <c r="E9" s="9"/>
      <c r="F9" s="10"/>
      <c r="G9" s="14"/>
      <c r="H9" s="61">
        <v>9986294061</v>
      </c>
      <c r="I9" s="7"/>
      <c r="J9" s="7"/>
      <c r="K9" s="7"/>
      <c r="L9" s="61"/>
      <c r="M9" s="12"/>
      <c r="N9" s="12"/>
      <c r="O9" s="12"/>
      <c r="P9" s="12"/>
      <c r="Q9" s="51"/>
    </row>
    <row r="10" spans="1:17" ht="28.8">
      <c r="A10" s="8" t="s">
        <v>34</v>
      </c>
      <c r="B10" s="37" t="s">
        <v>19</v>
      </c>
      <c r="C10" s="69" t="s">
        <v>35</v>
      </c>
      <c r="D10" s="11" t="s">
        <v>21</v>
      </c>
      <c r="E10" s="9">
        <v>46195</v>
      </c>
      <c r="F10" s="10">
        <v>0.72222222222222221</v>
      </c>
      <c r="G10" s="40">
        <v>4.1666666666666664E-2</v>
      </c>
      <c r="H10" s="61">
        <v>9916349635</v>
      </c>
      <c r="I10" s="42">
        <v>9986206416</v>
      </c>
      <c r="J10" s="48"/>
      <c r="K10" s="75">
        <v>9689311089</v>
      </c>
      <c r="L10" s="75">
        <v>9916349635</v>
      </c>
      <c r="M10" s="7"/>
      <c r="N10" s="7"/>
      <c r="O10" s="12"/>
      <c r="P10" s="12"/>
      <c r="Q10" s="46"/>
    </row>
    <row r="11" spans="1:17" ht="28.8" hidden="1">
      <c r="A11" s="8" t="s">
        <v>36</v>
      </c>
      <c r="B11" s="37" t="s">
        <v>19</v>
      </c>
      <c r="C11" s="38" t="s">
        <v>37</v>
      </c>
      <c r="D11" s="8" t="s">
        <v>25</v>
      </c>
      <c r="E11" s="6"/>
      <c r="F11" s="10"/>
      <c r="G11" s="6"/>
      <c r="H11" s="61">
        <v>9986294061</v>
      </c>
      <c r="I11" s="6"/>
      <c r="J11" s="6"/>
      <c r="K11" s="11"/>
      <c r="L11" s="6"/>
      <c r="M11" s="7"/>
      <c r="N11" s="7"/>
      <c r="O11" s="12"/>
      <c r="P11" s="12"/>
      <c r="Q11" s="51"/>
    </row>
    <row r="12" spans="1:17" s="64" customFormat="1" ht="14.4">
      <c r="A12" s="8" t="s">
        <v>38</v>
      </c>
      <c r="B12" s="11" t="s">
        <v>19</v>
      </c>
      <c r="C12" s="70" t="s">
        <v>39</v>
      </c>
      <c r="D12" s="11" t="s">
        <v>21</v>
      </c>
      <c r="E12" s="9">
        <v>46195</v>
      </c>
      <c r="F12" s="10">
        <v>0.72499999999999998</v>
      </c>
      <c r="G12" s="40"/>
      <c r="H12" s="61">
        <v>9916349635</v>
      </c>
      <c r="I12" s="42">
        <v>9986206416</v>
      </c>
      <c r="J12" s="49"/>
      <c r="K12" s="75">
        <v>9916349635</v>
      </c>
      <c r="L12" s="75">
        <v>9689311089</v>
      </c>
      <c r="M12" s="62"/>
      <c r="N12" s="8"/>
      <c r="O12" s="63"/>
      <c r="P12" s="63"/>
      <c r="Q12" s="46"/>
    </row>
    <row r="13" spans="1:17" s="64" customFormat="1" ht="14.4">
      <c r="A13" s="8" t="s">
        <v>40</v>
      </c>
      <c r="B13" s="65" t="s">
        <v>19</v>
      </c>
      <c r="C13" s="72" t="s">
        <v>41</v>
      </c>
      <c r="D13" s="11" t="s">
        <v>42</v>
      </c>
      <c r="E13" s="9"/>
      <c r="F13" s="10"/>
      <c r="G13" s="40"/>
      <c r="H13" s="61">
        <v>9916349635</v>
      </c>
      <c r="I13" s="42">
        <v>9986206416</v>
      </c>
      <c r="J13" s="49"/>
      <c r="K13" s="75">
        <v>9689311089</v>
      </c>
      <c r="L13" s="75">
        <v>9916349635</v>
      </c>
      <c r="M13" s="62"/>
      <c r="N13" s="63"/>
      <c r="O13" s="63"/>
      <c r="P13" s="63"/>
      <c r="Q13" s="46"/>
    </row>
    <row r="14" spans="1:17" s="64" customFormat="1" ht="14.4">
      <c r="A14" s="8" t="s">
        <v>43</v>
      </c>
      <c r="B14" s="11" t="s">
        <v>19</v>
      </c>
      <c r="C14" s="70" t="s">
        <v>44</v>
      </c>
      <c r="D14" s="11" t="s">
        <v>21</v>
      </c>
      <c r="E14" s="9">
        <v>46195</v>
      </c>
      <c r="F14" s="10">
        <v>0.72638888888888886</v>
      </c>
      <c r="G14" s="40"/>
      <c r="H14" s="61">
        <v>9916349635</v>
      </c>
      <c r="I14" s="42">
        <v>9986206416</v>
      </c>
      <c r="J14" s="66"/>
      <c r="K14" s="75">
        <v>9916349635</v>
      </c>
      <c r="L14" s="75" t="s">
        <v>22</v>
      </c>
      <c r="M14" s="62"/>
      <c r="N14" s="8"/>
      <c r="O14" s="63"/>
      <c r="P14" s="63"/>
      <c r="Q14" s="46"/>
    </row>
    <row r="15" spans="1:17" s="64" customFormat="1" ht="14.4">
      <c r="A15" s="8" t="s">
        <v>45</v>
      </c>
      <c r="B15" s="65" t="s">
        <v>19</v>
      </c>
      <c r="C15" s="72" t="s">
        <v>46</v>
      </c>
      <c r="D15" s="11" t="s">
        <v>42</v>
      </c>
      <c r="E15" s="9"/>
      <c r="F15" s="10"/>
      <c r="G15" s="40"/>
      <c r="H15" s="61">
        <v>9916349635</v>
      </c>
      <c r="I15" s="42">
        <v>9986206416</v>
      </c>
      <c r="J15" s="66"/>
      <c r="K15" s="75"/>
      <c r="L15" s="75">
        <v>9916349635</v>
      </c>
      <c r="M15" s="62"/>
      <c r="N15" s="63"/>
      <c r="O15" s="63"/>
      <c r="P15" s="63"/>
      <c r="Q15" s="46"/>
    </row>
    <row r="16" spans="1:17" ht="14.4">
      <c r="A16" s="8" t="s">
        <v>47</v>
      </c>
      <c r="B16" s="12" t="s">
        <v>19</v>
      </c>
      <c r="C16" s="24" t="s">
        <v>48</v>
      </c>
      <c r="D16" s="11" t="s">
        <v>21</v>
      </c>
      <c r="E16" s="9">
        <v>46195</v>
      </c>
      <c r="F16" s="10">
        <v>0.7583333333333333</v>
      </c>
      <c r="G16" s="40">
        <v>4.1666666666666664E-2</v>
      </c>
      <c r="H16" s="61">
        <v>9916349635</v>
      </c>
      <c r="I16" s="42">
        <v>9986206416</v>
      </c>
      <c r="J16" s="50"/>
      <c r="K16" s="75">
        <v>9916349635</v>
      </c>
      <c r="L16" s="73">
        <v>9620902766</v>
      </c>
      <c r="M16" s="46">
        <v>9689311089</v>
      </c>
      <c r="N16" s="8"/>
      <c r="O16" s="12"/>
      <c r="P16" s="12"/>
      <c r="Q16" s="46"/>
    </row>
    <row r="17" spans="1:19" ht="14.4">
      <c r="A17" s="8" t="s">
        <v>49</v>
      </c>
      <c r="B17" s="12" t="s">
        <v>19</v>
      </c>
      <c r="C17" s="24" t="s">
        <v>50</v>
      </c>
      <c r="D17" s="11" t="s">
        <v>21</v>
      </c>
      <c r="E17" s="9">
        <v>46195</v>
      </c>
      <c r="F17" s="10">
        <v>0.76111111111111107</v>
      </c>
      <c r="G17" s="40">
        <v>4.1666666666666664E-2</v>
      </c>
      <c r="H17" s="61">
        <v>9916349635</v>
      </c>
      <c r="I17" s="42">
        <v>9986206416</v>
      </c>
      <c r="J17" s="48"/>
      <c r="K17" s="73">
        <v>9620902766</v>
      </c>
      <c r="L17" s="75">
        <v>9916349635</v>
      </c>
      <c r="M17" s="46">
        <v>9689311089</v>
      </c>
      <c r="N17" s="8"/>
      <c r="O17" s="12"/>
      <c r="P17" s="12"/>
      <c r="Q17" s="46"/>
    </row>
    <row r="18" spans="1:19" ht="14.4">
      <c r="A18" s="8" t="s">
        <v>51</v>
      </c>
      <c r="B18" s="13" t="s">
        <v>19</v>
      </c>
      <c r="C18" s="24" t="s">
        <v>52</v>
      </c>
      <c r="D18" s="11" t="s">
        <v>21</v>
      </c>
      <c r="E18" s="9">
        <v>46195</v>
      </c>
      <c r="F18" s="10">
        <v>0.73333333333333328</v>
      </c>
      <c r="G18" s="103">
        <v>4.1666666666666664E-2</v>
      </c>
      <c r="H18" s="61">
        <v>9916349635</v>
      </c>
      <c r="I18" s="42">
        <v>9986206416</v>
      </c>
      <c r="J18" s="8"/>
      <c r="K18" s="75" t="s">
        <v>22</v>
      </c>
      <c r="L18" s="75">
        <v>9916349635</v>
      </c>
      <c r="M18" s="75">
        <v>9689311089</v>
      </c>
      <c r="N18" s="8"/>
      <c r="O18" s="12"/>
      <c r="P18" s="12"/>
      <c r="Q18" s="46"/>
    </row>
    <row r="19" spans="1:19" ht="14.4">
      <c r="A19" s="8" t="s">
        <v>53</v>
      </c>
      <c r="B19" s="13" t="s">
        <v>19</v>
      </c>
      <c r="C19" s="26" t="s">
        <v>54</v>
      </c>
      <c r="D19" s="11" t="s">
        <v>21</v>
      </c>
      <c r="E19" s="9">
        <v>46195</v>
      </c>
      <c r="F19" s="10">
        <v>0.73541666666666672</v>
      </c>
      <c r="G19" s="103">
        <v>4.1666666666666664E-2</v>
      </c>
      <c r="H19" s="61">
        <v>9916349635</v>
      </c>
      <c r="I19" s="42">
        <v>9986206416</v>
      </c>
      <c r="J19" s="7"/>
      <c r="K19" s="75" t="s">
        <v>22</v>
      </c>
      <c r="L19" s="75">
        <v>9916349635</v>
      </c>
      <c r="M19" s="75">
        <v>9689311089</v>
      </c>
      <c r="N19" s="8"/>
      <c r="O19" s="12"/>
      <c r="P19" s="12"/>
      <c r="Q19" s="46"/>
    </row>
    <row r="20" spans="1:19" ht="14.4">
      <c r="A20" s="8" t="s">
        <v>55</v>
      </c>
      <c r="B20" s="13" t="s">
        <v>19</v>
      </c>
      <c r="C20" s="26" t="s">
        <v>56</v>
      </c>
      <c r="D20" s="11" t="s">
        <v>21</v>
      </c>
      <c r="E20" s="9">
        <v>46195</v>
      </c>
      <c r="F20" s="10">
        <v>0.73819444444444449</v>
      </c>
      <c r="G20" s="103">
        <v>4.1666666666666664E-2</v>
      </c>
      <c r="H20" s="61">
        <v>9916349635</v>
      </c>
      <c r="I20" s="42">
        <v>9986206416</v>
      </c>
      <c r="J20" s="8"/>
      <c r="K20" s="75" t="s">
        <v>22</v>
      </c>
      <c r="L20" s="75">
        <v>9916349635</v>
      </c>
      <c r="M20" s="75">
        <v>9689311089</v>
      </c>
      <c r="N20" s="8"/>
      <c r="O20" s="12"/>
      <c r="P20" s="12"/>
      <c r="Q20" s="46"/>
    </row>
    <row r="21" spans="1:19" ht="14.4">
      <c r="A21" s="8" t="s">
        <v>57</v>
      </c>
      <c r="B21" s="13" t="s">
        <v>19</v>
      </c>
      <c r="C21" s="26" t="s">
        <v>58</v>
      </c>
      <c r="D21" s="11" t="s">
        <v>21</v>
      </c>
      <c r="E21" s="9">
        <v>46195</v>
      </c>
      <c r="F21" s="10">
        <v>0.7368055555555556</v>
      </c>
      <c r="G21" s="103">
        <v>4.1666666666666664E-2</v>
      </c>
      <c r="H21" s="61">
        <v>9916349635</v>
      </c>
      <c r="I21" s="42">
        <v>9986206416</v>
      </c>
      <c r="J21" s="7"/>
      <c r="K21" s="75" t="s">
        <v>22</v>
      </c>
      <c r="L21" s="75">
        <v>9916349635</v>
      </c>
      <c r="M21" s="75">
        <v>9689311089</v>
      </c>
      <c r="N21" s="8"/>
      <c r="O21" s="12"/>
      <c r="P21" s="12"/>
      <c r="Q21" s="46"/>
    </row>
    <row r="22" spans="1:19" ht="14.4">
      <c r="A22" s="8" t="s">
        <v>59</v>
      </c>
      <c r="B22" s="13" t="s">
        <v>19</v>
      </c>
      <c r="C22" s="26" t="s">
        <v>60</v>
      </c>
      <c r="D22" s="11" t="s">
        <v>21</v>
      </c>
      <c r="E22" s="9">
        <v>46195</v>
      </c>
      <c r="F22" s="10">
        <v>0.75347222222222221</v>
      </c>
      <c r="G22" s="40">
        <v>4.1666666666666664E-2</v>
      </c>
      <c r="H22" s="61">
        <v>9916349635</v>
      </c>
      <c r="I22" s="42">
        <v>9986206416</v>
      </c>
      <c r="J22" s="43"/>
      <c r="K22" s="75">
        <v>9916349635</v>
      </c>
      <c r="L22" s="73">
        <v>9620902766</v>
      </c>
      <c r="M22" s="13"/>
      <c r="N22" s="13"/>
      <c r="O22" s="12"/>
      <c r="P22" s="12"/>
      <c r="Q22" s="46"/>
    </row>
    <row r="23" spans="1:19" ht="14.4">
      <c r="A23" s="8" t="s">
        <v>61</v>
      </c>
      <c r="B23" s="13" t="s">
        <v>19</v>
      </c>
      <c r="C23" s="27" t="s">
        <v>62</v>
      </c>
      <c r="D23" s="11" t="s">
        <v>21</v>
      </c>
      <c r="E23" s="9">
        <v>46195</v>
      </c>
      <c r="F23" s="10">
        <v>0.75486111111111109</v>
      </c>
      <c r="G23" s="40">
        <v>4.1666666666666664E-2</v>
      </c>
      <c r="H23" s="61">
        <v>9916349635</v>
      </c>
      <c r="I23" s="42">
        <v>9986206416</v>
      </c>
      <c r="J23" s="43"/>
      <c r="K23" s="75">
        <v>9916349635</v>
      </c>
      <c r="L23" s="73">
        <v>9620902766</v>
      </c>
      <c r="M23" s="13"/>
      <c r="N23" s="13"/>
      <c r="O23" s="12"/>
      <c r="P23" s="12"/>
      <c r="Q23" s="46"/>
    </row>
    <row r="24" spans="1:19" ht="14.4">
      <c r="A24" s="8" t="s">
        <v>63</v>
      </c>
      <c r="B24" s="13" t="s">
        <v>19</v>
      </c>
      <c r="C24" s="27" t="s">
        <v>64</v>
      </c>
      <c r="D24" s="11" t="s">
        <v>21</v>
      </c>
      <c r="E24" s="9">
        <v>46195</v>
      </c>
      <c r="F24" s="10">
        <v>0.75624999999999998</v>
      </c>
      <c r="G24" s="40"/>
      <c r="H24" s="61">
        <v>9916349635</v>
      </c>
      <c r="I24" s="42">
        <v>9986206416</v>
      </c>
      <c r="J24" s="43"/>
      <c r="K24" s="75">
        <v>9916349635</v>
      </c>
      <c r="L24" s="73" t="s">
        <v>65</v>
      </c>
      <c r="M24" s="13"/>
      <c r="N24" s="13"/>
      <c r="O24" s="12"/>
      <c r="P24" s="12"/>
      <c r="Q24" s="46"/>
    </row>
    <row r="25" spans="1:19" ht="14.4">
      <c r="A25" s="8" t="s">
        <v>66</v>
      </c>
      <c r="B25" s="13" t="s">
        <v>19</v>
      </c>
      <c r="C25" s="26" t="s">
        <v>67</v>
      </c>
      <c r="D25" s="11" t="s">
        <v>21</v>
      </c>
      <c r="E25" s="9">
        <v>46195</v>
      </c>
      <c r="F25" s="10">
        <v>0.75694444444444442</v>
      </c>
      <c r="G25" s="40">
        <v>4.1666666666666664E-2</v>
      </c>
      <c r="H25" s="61">
        <v>9916349635</v>
      </c>
      <c r="I25" s="42">
        <v>9986206416</v>
      </c>
      <c r="J25" s="43"/>
      <c r="K25" s="75">
        <v>9916349635</v>
      </c>
      <c r="L25" s="73">
        <v>9620902766</v>
      </c>
      <c r="M25" s="13"/>
      <c r="N25" s="13"/>
      <c r="O25" s="12"/>
      <c r="P25" s="12"/>
      <c r="Q25" s="46"/>
      <c r="R25">
        <v>12345</v>
      </c>
      <c r="S25">
        <v>54321</v>
      </c>
    </row>
    <row r="26" spans="1:19" ht="14.4">
      <c r="A26" s="8" t="s">
        <v>68</v>
      </c>
      <c r="B26" s="13" t="s">
        <v>19</v>
      </c>
      <c r="C26" s="27" t="s">
        <v>69</v>
      </c>
      <c r="D26" s="11" t="s">
        <v>21</v>
      </c>
      <c r="E26" s="9">
        <v>46196</v>
      </c>
      <c r="F26" s="10">
        <v>0.78194444444444444</v>
      </c>
      <c r="G26" s="40">
        <v>4.1666666666666664E-2</v>
      </c>
      <c r="H26" s="61">
        <v>9916349635</v>
      </c>
      <c r="I26" s="42">
        <v>9986206416</v>
      </c>
      <c r="J26" s="52"/>
      <c r="K26" s="75">
        <v>9916349635</v>
      </c>
      <c r="L26" s="75" t="s">
        <v>22</v>
      </c>
      <c r="M26" s="13"/>
      <c r="N26" s="13"/>
      <c r="O26" s="12"/>
      <c r="P26" s="12"/>
      <c r="Q26" s="46"/>
    </row>
    <row r="27" spans="1:19" ht="14.4">
      <c r="A27" s="8" t="s">
        <v>70</v>
      </c>
      <c r="B27" s="13" t="s">
        <v>19</v>
      </c>
      <c r="C27" s="27" t="s">
        <v>71</v>
      </c>
      <c r="D27" s="11" t="s">
        <v>21</v>
      </c>
      <c r="E27" s="9">
        <v>46196</v>
      </c>
      <c r="F27" s="10">
        <v>0.78263888888888888</v>
      </c>
      <c r="G27" s="40">
        <v>4.1666666666666664E-2</v>
      </c>
      <c r="H27" s="61">
        <v>9916349635</v>
      </c>
      <c r="I27" s="42">
        <v>9986206416</v>
      </c>
      <c r="J27" s="52"/>
      <c r="K27" s="75" t="s">
        <v>22</v>
      </c>
      <c r="L27" s="75">
        <v>9916349635</v>
      </c>
      <c r="M27" s="13"/>
      <c r="N27" s="13"/>
      <c r="O27" s="12"/>
      <c r="P27" s="12"/>
      <c r="Q27" s="46"/>
    </row>
    <row r="28" spans="1:19" ht="14.4">
      <c r="A28" s="8" t="s">
        <v>72</v>
      </c>
      <c r="B28" s="13" t="s">
        <v>19</v>
      </c>
      <c r="C28" s="27" t="s">
        <v>73</v>
      </c>
      <c r="D28" s="11" t="s">
        <v>21</v>
      </c>
      <c r="E28" s="9">
        <v>46196</v>
      </c>
      <c r="F28" s="10">
        <v>0.78333333333333333</v>
      </c>
      <c r="G28" s="40">
        <v>4.1666666666666664E-2</v>
      </c>
      <c r="H28" s="61">
        <v>9916349635</v>
      </c>
      <c r="I28" s="42">
        <v>9986206416</v>
      </c>
      <c r="J28" s="52"/>
      <c r="K28" s="75">
        <v>9916349635</v>
      </c>
      <c r="L28" s="75" t="s">
        <v>22</v>
      </c>
      <c r="M28" s="13"/>
      <c r="N28" s="13"/>
      <c r="O28" s="12"/>
      <c r="P28" s="12"/>
      <c r="Q28" s="46"/>
    </row>
    <row r="29" spans="1:19" ht="14.4">
      <c r="A29" s="8" t="s">
        <v>74</v>
      </c>
      <c r="B29" s="13" t="s">
        <v>19</v>
      </c>
      <c r="C29" s="27" t="s">
        <v>75</v>
      </c>
      <c r="D29" s="11" t="s">
        <v>21</v>
      </c>
      <c r="E29" s="9">
        <v>46196</v>
      </c>
      <c r="F29" s="10">
        <v>0.78402777777777777</v>
      </c>
      <c r="G29" s="40">
        <v>4.1666666666666664E-2</v>
      </c>
      <c r="H29" s="61">
        <v>9916349635</v>
      </c>
      <c r="I29" s="42">
        <v>9986206416</v>
      </c>
      <c r="J29" s="52"/>
      <c r="K29" s="75" t="s">
        <v>22</v>
      </c>
      <c r="L29" s="75">
        <v>9916349635</v>
      </c>
      <c r="M29" s="13"/>
      <c r="N29" s="13"/>
      <c r="O29" s="12"/>
      <c r="P29" s="12"/>
      <c r="Q29" s="46"/>
    </row>
    <row r="30" spans="1:19" ht="14.4">
      <c r="A30" s="8" t="s">
        <v>76</v>
      </c>
      <c r="B30" s="13" t="s">
        <v>19</v>
      </c>
      <c r="C30" s="27" t="s">
        <v>77</v>
      </c>
      <c r="D30" s="11" t="s">
        <v>21</v>
      </c>
      <c r="E30" s="9">
        <v>46196</v>
      </c>
      <c r="F30" s="10">
        <v>0.78541666666666665</v>
      </c>
      <c r="G30" s="40">
        <v>4.1666666666666664E-2</v>
      </c>
      <c r="H30" s="61">
        <v>9916349635</v>
      </c>
      <c r="I30" s="42">
        <v>9986206416</v>
      </c>
      <c r="J30" s="52"/>
      <c r="K30" s="75">
        <v>9916349635</v>
      </c>
      <c r="L30" s="75" t="s">
        <v>22</v>
      </c>
      <c r="M30" s="13"/>
      <c r="N30" s="13"/>
      <c r="O30" s="12"/>
      <c r="P30" s="12"/>
      <c r="Q30" s="46"/>
    </row>
    <row r="31" spans="1:19" ht="14.4">
      <c r="A31" s="8" t="s">
        <v>78</v>
      </c>
      <c r="B31" s="13" t="s">
        <v>19</v>
      </c>
      <c r="C31" s="27" t="s">
        <v>79</v>
      </c>
      <c r="D31" s="11" t="s">
        <v>21</v>
      </c>
      <c r="E31" s="9">
        <v>46196</v>
      </c>
      <c r="F31" s="10">
        <v>0.78611111111111109</v>
      </c>
      <c r="G31" s="40">
        <v>4.1666666666666664E-2</v>
      </c>
      <c r="H31" s="61">
        <v>9916349635</v>
      </c>
      <c r="I31" s="42">
        <v>9986206416</v>
      </c>
      <c r="J31" s="52"/>
      <c r="K31" s="75">
        <v>9916349635</v>
      </c>
      <c r="L31" s="75" t="s">
        <v>22</v>
      </c>
      <c r="M31" s="13"/>
      <c r="N31" s="13"/>
      <c r="O31" s="12"/>
      <c r="P31" s="12"/>
      <c r="Q31" s="46"/>
    </row>
    <row r="32" spans="1:19" ht="14.4">
      <c r="A32" s="16" t="s">
        <v>80</v>
      </c>
      <c r="B32" s="16" t="s">
        <v>81</v>
      </c>
      <c r="C32" s="28" t="s">
        <v>82</v>
      </c>
      <c r="D32" s="15"/>
      <c r="E32" s="1"/>
      <c r="F32" s="2"/>
      <c r="G32" s="53"/>
      <c r="H32" s="54"/>
      <c r="I32" s="15"/>
      <c r="J32" s="55"/>
      <c r="K32" s="76"/>
      <c r="L32" s="76"/>
      <c r="M32" s="17"/>
      <c r="N32" s="17"/>
      <c r="O32" s="17"/>
      <c r="P32" s="17"/>
      <c r="Q32" s="56"/>
    </row>
    <row r="33" spans="1:17" ht="14.4">
      <c r="A33" s="16" t="s">
        <v>83</v>
      </c>
      <c r="B33" s="16" t="s">
        <v>81</v>
      </c>
      <c r="C33" s="28" t="s">
        <v>84</v>
      </c>
      <c r="D33" s="15"/>
      <c r="E33" s="1"/>
      <c r="F33" s="2"/>
      <c r="G33" s="53"/>
      <c r="H33" s="54"/>
      <c r="I33" s="15"/>
      <c r="J33" s="55"/>
      <c r="K33" s="76"/>
      <c r="L33" s="76"/>
      <c r="M33" s="17"/>
      <c r="N33" s="17"/>
      <c r="O33" s="17"/>
      <c r="P33" s="17"/>
      <c r="Q33" s="56"/>
    </row>
    <row r="34" spans="1:17" ht="14.4">
      <c r="A34" s="16" t="s">
        <v>85</v>
      </c>
      <c r="B34" s="16" t="s">
        <v>81</v>
      </c>
      <c r="C34" s="28" t="s">
        <v>86</v>
      </c>
      <c r="D34" s="15"/>
      <c r="E34" s="1"/>
      <c r="F34" s="2"/>
      <c r="G34" s="53"/>
      <c r="H34" s="54"/>
      <c r="I34" s="15"/>
      <c r="J34" s="55"/>
      <c r="K34" s="76"/>
      <c r="L34" s="77"/>
      <c r="M34" s="17"/>
      <c r="N34" s="17"/>
      <c r="O34" s="17"/>
      <c r="P34" s="17"/>
      <c r="Q34" s="56"/>
    </row>
    <row r="35" spans="1:17" ht="14.4">
      <c r="A35" s="16" t="s">
        <v>87</v>
      </c>
      <c r="B35" s="16" t="s">
        <v>81</v>
      </c>
      <c r="C35" s="28" t="s">
        <v>88</v>
      </c>
      <c r="D35" s="15"/>
      <c r="E35" s="1"/>
      <c r="F35" s="2"/>
      <c r="G35" s="53"/>
      <c r="H35" s="54"/>
      <c r="I35" s="15"/>
      <c r="J35" s="55"/>
      <c r="K35" s="77"/>
      <c r="L35" s="76"/>
      <c r="M35" s="17"/>
      <c r="N35" s="17"/>
      <c r="O35" s="17"/>
      <c r="P35" s="17"/>
      <c r="Q35" s="56"/>
    </row>
    <row r="36" spans="1:17" ht="14.4">
      <c r="A36" s="18" t="s">
        <v>89</v>
      </c>
      <c r="B36" s="18" t="s">
        <v>90</v>
      </c>
      <c r="C36" s="29" t="s">
        <v>82</v>
      </c>
      <c r="D36" s="19"/>
      <c r="E36" s="20">
        <v>46199</v>
      </c>
      <c r="F36" s="21">
        <v>0.44027777777777777</v>
      </c>
      <c r="G36" s="57"/>
      <c r="H36" s="58">
        <v>382822574888054</v>
      </c>
      <c r="I36" s="59">
        <v>9986206416</v>
      </c>
      <c r="J36" s="22"/>
      <c r="K36" s="78">
        <v>9986294061</v>
      </c>
      <c r="L36" s="78">
        <v>9986205978</v>
      </c>
      <c r="M36" s="23"/>
      <c r="N36" s="23"/>
      <c r="O36" s="23"/>
      <c r="P36" s="23"/>
      <c r="Q36" s="60"/>
    </row>
    <row r="37" spans="1:17" ht="14.4">
      <c r="A37" s="18" t="s">
        <v>91</v>
      </c>
      <c r="B37" s="18" t="s">
        <v>90</v>
      </c>
      <c r="C37" s="29" t="s">
        <v>84</v>
      </c>
      <c r="D37" s="19"/>
      <c r="E37" s="20">
        <v>46199</v>
      </c>
      <c r="F37" s="21"/>
      <c r="G37" s="57"/>
      <c r="H37" s="58">
        <v>382822574888054</v>
      </c>
      <c r="I37" s="59">
        <v>9986206416</v>
      </c>
      <c r="J37" s="22"/>
      <c r="K37" s="78"/>
      <c r="L37" s="78"/>
      <c r="M37" s="23"/>
      <c r="N37" s="23"/>
      <c r="O37" s="23"/>
      <c r="P37" s="23"/>
      <c r="Q37" s="60"/>
    </row>
    <row r="38" spans="1:17" ht="14.4">
      <c r="A38" s="18" t="s">
        <v>92</v>
      </c>
      <c r="B38" s="18" t="s">
        <v>90</v>
      </c>
      <c r="C38" s="29" t="s">
        <v>86</v>
      </c>
      <c r="D38" s="19"/>
      <c r="E38" s="20">
        <v>46199</v>
      </c>
      <c r="F38" s="21"/>
      <c r="G38" s="57"/>
      <c r="H38" s="58">
        <v>382822574888054</v>
      </c>
      <c r="I38" s="59">
        <v>9986206416</v>
      </c>
      <c r="J38" s="22"/>
      <c r="K38" s="78"/>
      <c r="L38" s="78"/>
      <c r="M38" s="23"/>
      <c r="N38" s="23"/>
      <c r="O38" s="23"/>
      <c r="P38" s="23"/>
      <c r="Q38" s="60"/>
    </row>
    <row r="39" spans="1:17" s="92" customFormat="1" ht="15" thickBot="1">
      <c r="A39" s="79" t="s">
        <v>93</v>
      </c>
      <c r="B39" s="79" t="s">
        <v>90</v>
      </c>
      <c r="C39" s="80" t="s">
        <v>88</v>
      </c>
      <c r="D39" s="81"/>
      <c r="E39" s="20">
        <v>46199</v>
      </c>
      <c r="F39" s="83"/>
      <c r="G39" s="84"/>
      <c r="H39" s="58">
        <v>382822574888054</v>
      </c>
      <c r="I39" s="59">
        <v>9986206416</v>
      </c>
      <c r="J39" s="87"/>
      <c r="K39" s="88"/>
      <c r="L39" s="89"/>
      <c r="M39" s="86"/>
      <c r="N39" s="86"/>
      <c r="O39" s="86"/>
      <c r="P39" s="90"/>
      <c r="Q39" s="91"/>
    </row>
    <row r="40" spans="1:17" ht="14.4" thickBot="1">
      <c r="E40" s="68"/>
      <c r="F40" s="67"/>
      <c r="G40" s="67"/>
    </row>
    <row r="41" spans="1:17" ht="13.5" customHeight="1" thickBot="1">
      <c r="A41" s="147" t="s">
        <v>94</v>
      </c>
      <c r="B41" s="148"/>
      <c r="C41" s="148"/>
      <c r="D41" s="148"/>
      <c r="E41" s="148"/>
      <c r="F41" s="149"/>
    </row>
    <row r="43" spans="1:17" ht="14.4">
      <c r="A43" s="133" t="s">
        <v>0</v>
      </c>
      <c r="B43" s="133" t="s">
        <v>1</v>
      </c>
      <c r="C43" s="134" t="s">
        <v>2</v>
      </c>
      <c r="D43" s="133"/>
      <c r="E43" s="133"/>
      <c r="F43" s="133"/>
      <c r="G43" s="133"/>
      <c r="H43" s="133"/>
      <c r="I43" s="133"/>
      <c r="J43" s="133"/>
      <c r="K43" s="133"/>
      <c r="L43" s="133"/>
      <c r="M43" s="3"/>
    </row>
    <row r="44" spans="1:17" ht="14.1" customHeight="1">
      <c r="A44" s="133"/>
      <c r="B44" s="133"/>
      <c r="C44" s="134"/>
      <c r="D44" s="133" t="s">
        <v>3</v>
      </c>
      <c r="E44" s="4" t="s">
        <v>4</v>
      </c>
      <c r="F44" s="5" t="s">
        <v>4</v>
      </c>
      <c r="G44" s="135" t="s">
        <v>5</v>
      </c>
      <c r="H44" s="133" t="s">
        <v>6</v>
      </c>
      <c r="I44" s="133" t="s">
        <v>7</v>
      </c>
      <c r="J44" s="133" t="s">
        <v>8</v>
      </c>
      <c r="K44" s="134" t="s">
        <v>9</v>
      </c>
      <c r="L44" s="134" t="s">
        <v>10</v>
      </c>
      <c r="M44" s="135" t="s">
        <v>11</v>
      </c>
      <c r="N44" s="135" t="s">
        <v>12</v>
      </c>
      <c r="O44" s="132" t="s">
        <v>13</v>
      </c>
      <c r="P44" s="132" t="s">
        <v>14</v>
      </c>
    </row>
    <row r="45" spans="1:17" ht="27.6" customHeight="1">
      <c r="A45" s="133"/>
      <c r="B45" s="133"/>
      <c r="C45" s="134"/>
      <c r="D45" s="133"/>
      <c r="E45" s="4" t="s">
        <v>16</v>
      </c>
      <c r="F45" s="5" t="s">
        <v>17</v>
      </c>
      <c r="G45" s="135"/>
      <c r="H45" s="133"/>
      <c r="I45" s="133"/>
      <c r="J45" s="133"/>
      <c r="K45" s="134"/>
      <c r="L45" s="134"/>
      <c r="M45" s="135"/>
      <c r="N45" s="135"/>
      <c r="O45" s="132"/>
      <c r="P45" s="132"/>
    </row>
    <row r="46" spans="1:17" ht="14.4">
      <c r="A46" s="12" t="s">
        <v>18</v>
      </c>
      <c r="B46" s="12" t="s">
        <v>19</v>
      </c>
      <c r="C46" s="24" t="s">
        <v>82</v>
      </c>
      <c r="D46" s="8"/>
      <c r="E46" s="9"/>
      <c r="F46" s="10"/>
      <c r="G46" s="14"/>
      <c r="H46" s="61"/>
      <c r="I46" s="6"/>
      <c r="J46" s="7"/>
      <c r="K46" s="61"/>
      <c r="L46" s="41"/>
      <c r="M46" s="12"/>
      <c r="N46" s="12"/>
      <c r="O46" s="12"/>
      <c r="P46" s="12"/>
    </row>
    <row r="47" spans="1:17" ht="14.4">
      <c r="A47" s="12" t="s">
        <v>23</v>
      </c>
      <c r="B47" s="12" t="s">
        <v>19</v>
      </c>
      <c r="C47" s="24" t="s">
        <v>84</v>
      </c>
      <c r="D47" s="8"/>
      <c r="E47" s="9"/>
      <c r="F47" s="10"/>
      <c r="G47" s="14"/>
      <c r="H47" s="61"/>
      <c r="I47" s="6"/>
      <c r="J47" s="7"/>
      <c r="K47" s="41"/>
      <c r="L47" s="61"/>
      <c r="M47" s="12"/>
      <c r="N47" s="12"/>
      <c r="O47" s="12"/>
      <c r="P47" s="12"/>
    </row>
    <row r="48" spans="1:17" ht="14.4">
      <c r="A48" s="12" t="s">
        <v>26</v>
      </c>
      <c r="B48" s="12" t="s">
        <v>19</v>
      </c>
      <c r="C48" s="24" t="s">
        <v>86</v>
      </c>
      <c r="D48" s="8"/>
      <c r="E48" s="9"/>
      <c r="F48" s="10"/>
      <c r="G48" s="14"/>
      <c r="H48" s="61"/>
      <c r="I48" s="6"/>
      <c r="J48" s="7"/>
      <c r="K48" s="61"/>
      <c r="L48" s="8"/>
      <c r="M48" s="12"/>
      <c r="N48" s="12"/>
      <c r="O48" s="12"/>
      <c r="P48" s="12"/>
    </row>
    <row r="49" spans="1:16" ht="14.4">
      <c r="A49" s="6" t="s">
        <v>28</v>
      </c>
      <c r="B49" s="6" t="s">
        <v>81</v>
      </c>
      <c r="C49" s="25" t="s">
        <v>88</v>
      </c>
      <c r="D49" s="11"/>
      <c r="E49" s="9"/>
      <c r="F49" s="10"/>
      <c r="G49" s="14"/>
      <c r="H49" s="61"/>
      <c r="I49" s="6"/>
      <c r="J49" s="6"/>
      <c r="K49" s="8"/>
      <c r="L49" s="61"/>
      <c r="M49" s="7"/>
      <c r="N49" s="7"/>
      <c r="O49" s="12"/>
      <c r="P49" s="12"/>
    </row>
    <row r="53" spans="1:16" ht="14.4">
      <c r="A53" s="133" t="s">
        <v>0</v>
      </c>
      <c r="B53" s="133" t="s">
        <v>1</v>
      </c>
      <c r="C53" s="134" t="s">
        <v>2</v>
      </c>
      <c r="D53" s="133"/>
      <c r="E53" s="133"/>
      <c r="F53" s="133"/>
      <c r="G53" s="133"/>
      <c r="H53" s="133"/>
      <c r="I53" s="133"/>
      <c r="J53" s="133"/>
      <c r="K53" s="133"/>
      <c r="L53" s="133"/>
      <c r="M53" s="3"/>
    </row>
    <row r="54" spans="1:16" ht="14.4">
      <c r="A54" s="133"/>
      <c r="B54" s="133"/>
      <c r="C54" s="134"/>
      <c r="D54" s="133" t="s">
        <v>3</v>
      </c>
      <c r="E54" s="4" t="s">
        <v>4</v>
      </c>
      <c r="F54" s="5" t="s">
        <v>4</v>
      </c>
      <c r="G54" s="135" t="s">
        <v>5</v>
      </c>
      <c r="H54" s="133" t="s">
        <v>6</v>
      </c>
      <c r="I54" s="133" t="s">
        <v>7</v>
      </c>
      <c r="J54" s="133" t="s">
        <v>8</v>
      </c>
      <c r="K54" s="134" t="s">
        <v>9</v>
      </c>
      <c r="L54" s="134" t="s">
        <v>10</v>
      </c>
      <c r="M54" s="135" t="s">
        <v>11</v>
      </c>
      <c r="N54" s="135" t="s">
        <v>12</v>
      </c>
      <c r="O54" s="132" t="s">
        <v>13</v>
      </c>
      <c r="P54" s="132" t="s">
        <v>14</v>
      </c>
    </row>
    <row r="55" spans="1:16" ht="14.4">
      <c r="A55" s="133"/>
      <c r="B55" s="133"/>
      <c r="C55" s="134"/>
      <c r="D55" s="133"/>
      <c r="E55" s="4" t="s">
        <v>16</v>
      </c>
      <c r="F55" s="5" t="s">
        <v>17</v>
      </c>
      <c r="G55" s="135"/>
      <c r="H55" s="133"/>
      <c r="I55" s="133"/>
      <c r="J55" s="133"/>
      <c r="K55" s="134"/>
      <c r="L55" s="134"/>
      <c r="M55" s="135"/>
      <c r="N55" s="135"/>
      <c r="O55" s="132"/>
      <c r="P55" s="132"/>
    </row>
    <row r="56" spans="1:16" ht="14.4">
      <c r="A56" s="12" t="s">
        <v>18</v>
      </c>
      <c r="B56" s="12" t="s">
        <v>19</v>
      </c>
      <c r="C56" s="24" t="s">
        <v>82</v>
      </c>
      <c r="D56" s="8"/>
      <c r="E56" s="9"/>
      <c r="F56" s="10"/>
      <c r="G56" s="14"/>
      <c r="H56" s="61"/>
      <c r="I56" s="6"/>
      <c r="J56" s="7"/>
      <c r="K56" s="61"/>
      <c r="L56" s="41"/>
      <c r="M56" s="12"/>
      <c r="N56" s="12"/>
      <c r="O56" s="12"/>
      <c r="P56" s="12"/>
    </row>
    <row r="57" spans="1:16" ht="14.4">
      <c r="A57" s="12" t="s">
        <v>23</v>
      </c>
      <c r="B57" s="12" t="s">
        <v>19</v>
      </c>
      <c r="C57" s="24" t="s">
        <v>84</v>
      </c>
      <c r="D57" s="8"/>
      <c r="E57" s="9"/>
      <c r="F57" s="10"/>
      <c r="G57" s="14"/>
      <c r="H57" s="61"/>
      <c r="I57" s="6"/>
      <c r="J57" s="7"/>
      <c r="K57" s="41"/>
      <c r="L57" s="61"/>
      <c r="M57" s="12"/>
      <c r="N57" s="12"/>
      <c r="O57" s="12"/>
      <c r="P57" s="12"/>
    </row>
    <row r="58" spans="1:16" ht="14.4">
      <c r="A58" s="12" t="s">
        <v>26</v>
      </c>
      <c r="B58" s="12" t="s">
        <v>19</v>
      </c>
      <c r="C58" s="24" t="s">
        <v>86</v>
      </c>
      <c r="D58" s="8"/>
      <c r="E58" s="9"/>
      <c r="F58" s="10"/>
      <c r="G58" s="14"/>
      <c r="H58" s="61"/>
      <c r="I58" s="6"/>
      <c r="J58" s="7"/>
      <c r="K58" s="61"/>
      <c r="L58" s="8"/>
      <c r="M58" s="12"/>
      <c r="N58" s="12"/>
      <c r="O58" s="12"/>
      <c r="P58" s="12"/>
    </row>
    <row r="59" spans="1:16" ht="14.4">
      <c r="A59" s="6" t="s">
        <v>28</v>
      </c>
      <c r="B59" s="6" t="s">
        <v>81</v>
      </c>
      <c r="C59" s="25" t="s">
        <v>88</v>
      </c>
      <c r="D59" s="11"/>
      <c r="E59" s="9"/>
      <c r="F59" s="10"/>
      <c r="G59" s="14"/>
      <c r="H59" s="61"/>
      <c r="I59" s="6"/>
      <c r="J59" s="6"/>
      <c r="K59" s="8"/>
      <c r="L59" s="61"/>
      <c r="M59" s="7"/>
      <c r="N59" s="7"/>
      <c r="O59" s="12"/>
      <c r="P59" s="12"/>
    </row>
    <row r="60" spans="1:16" ht="14.1" customHeight="1"/>
    <row r="65" spans="2:7" ht="14.4" thickBot="1"/>
    <row r="66" spans="2:7" ht="15" thickBot="1">
      <c r="B66" s="34" t="s">
        <v>95</v>
      </c>
      <c r="C66" s="138" t="s">
        <v>96</v>
      </c>
      <c r="D66" s="139"/>
      <c r="E66" s="139"/>
      <c r="F66" s="35" t="s">
        <v>97</v>
      </c>
      <c r="G66" s="36"/>
    </row>
    <row r="67" spans="2:7" ht="15.6" customHeight="1">
      <c r="B67" s="31">
        <v>1</v>
      </c>
      <c r="C67" s="32" t="s">
        <v>98</v>
      </c>
      <c r="D67" s="32"/>
      <c r="E67" s="33"/>
      <c r="F67" s="141"/>
      <c r="G67" s="142"/>
    </row>
    <row r="68" spans="2:7" ht="14.4">
      <c r="B68" s="6">
        <v>2</v>
      </c>
      <c r="C68" s="136" t="s">
        <v>99</v>
      </c>
      <c r="D68" s="137"/>
      <c r="E68" s="137"/>
      <c r="F68" s="143"/>
      <c r="G68" s="144"/>
    </row>
    <row r="69" spans="2:7" ht="15" customHeight="1" thickBot="1">
      <c r="B69" s="6">
        <v>3</v>
      </c>
      <c r="C69" s="136" t="s">
        <v>100</v>
      </c>
      <c r="D69" s="137"/>
      <c r="E69" s="137"/>
      <c r="F69" s="145"/>
      <c r="G69" s="146"/>
    </row>
  </sheetData>
  <autoFilter ref="A3:S39" xr:uid="{BBFA6B15-B2F1-409A-BF12-9CA7F69F2A1E}">
    <filterColumn colId="3">
      <filters blank="1">
        <filter val="NOK"/>
        <filter val="OK"/>
        <filter val="WIP"/>
      </filters>
    </filterColumn>
  </autoFilter>
  <mergeCells count="53">
    <mergeCell ref="C1:C3"/>
    <mergeCell ref="D1:L1"/>
    <mergeCell ref="D2:D3"/>
    <mergeCell ref="G2:G3"/>
    <mergeCell ref="H2:H3"/>
    <mergeCell ref="I2:I3"/>
    <mergeCell ref="J2:J3"/>
    <mergeCell ref="K2:K3"/>
    <mergeCell ref="Q2:Q3"/>
    <mergeCell ref="F67:G67"/>
    <mergeCell ref="F68:G68"/>
    <mergeCell ref="F69:G69"/>
    <mergeCell ref="O44:O45"/>
    <mergeCell ref="N2:N3"/>
    <mergeCell ref="A41:F41"/>
    <mergeCell ref="B43:B45"/>
    <mergeCell ref="P2:P3"/>
    <mergeCell ref="P44:P45"/>
    <mergeCell ref="L2:L3"/>
    <mergeCell ref="M2:M3"/>
    <mergeCell ref="O2:O3"/>
    <mergeCell ref="A43:A45"/>
    <mergeCell ref="A1:A3"/>
    <mergeCell ref="B1:B3"/>
    <mergeCell ref="C69:E69"/>
    <mergeCell ref="C66:E66"/>
    <mergeCell ref="C68:E68"/>
    <mergeCell ref="M44:M45"/>
    <mergeCell ref="N44:N45"/>
    <mergeCell ref="C43:C45"/>
    <mergeCell ref="D43:L43"/>
    <mergeCell ref="D44:D45"/>
    <mergeCell ref="K44:K45"/>
    <mergeCell ref="L44:L45"/>
    <mergeCell ref="G44:G45"/>
    <mergeCell ref="H44:H45"/>
    <mergeCell ref="I44:I45"/>
    <mergeCell ref="J44:J45"/>
    <mergeCell ref="M54:M55"/>
    <mergeCell ref="N54:N55"/>
    <mergeCell ref="O54:O55"/>
    <mergeCell ref="P54:P55"/>
    <mergeCell ref="A53:A55"/>
    <mergeCell ref="B53:B55"/>
    <mergeCell ref="C53:C55"/>
    <mergeCell ref="D53:L53"/>
    <mergeCell ref="D54:D55"/>
    <mergeCell ref="G54:G55"/>
    <mergeCell ref="H54:H55"/>
    <mergeCell ref="I54:I55"/>
    <mergeCell ref="J54:J55"/>
    <mergeCell ref="K54:K55"/>
    <mergeCell ref="L54:L55"/>
  </mergeCells>
  <conditionalFormatting sqref="O4 Q4 Q6 Q8 Q10 Q12:Q31">
    <cfRule type="expression" dxfId="2" priority="4" stopIfTrue="1">
      <formula>#REF!="P"</formula>
    </cfRule>
  </conditionalFormatting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3A8D-F9F3-4D9A-8A69-85E67C63DF95}">
  <dimension ref="A1:S65"/>
  <sheetViews>
    <sheetView topLeftCell="A24" workbookViewId="0">
      <selection activeCell="F14" sqref="F14"/>
    </sheetView>
  </sheetViews>
  <sheetFormatPr defaultRowHeight="13.8"/>
  <cols>
    <col min="1" max="1" width="9.5546875" bestFit="1" customWidth="1"/>
    <col min="2" max="2" width="8.88671875" bestFit="1" customWidth="1"/>
    <col min="3" max="3" width="74.109375" style="30" bestFit="1" customWidth="1"/>
    <col min="4" max="4" width="7.44140625" bestFit="1" customWidth="1"/>
    <col min="5" max="5" width="11.5546875" bestFit="1" customWidth="1"/>
    <col min="6" max="6" width="15.5546875" customWidth="1"/>
    <col min="7" max="7" width="9.5546875" bestFit="1" customWidth="1"/>
    <col min="8" max="8" width="21.5546875" customWidth="1"/>
    <col min="9" max="9" width="16.88671875" bestFit="1" customWidth="1"/>
    <col min="10" max="10" width="16.44140625" bestFit="1" customWidth="1"/>
    <col min="11" max="12" width="13" bestFit="1" customWidth="1"/>
    <col min="13" max="13" width="8.44140625" bestFit="1" customWidth="1"/>
    <col min="14" max="14" width="19.109375" bestFit="1" customWidth="1"/>
    <col min="15" max="15" width="25.88671875" bestFit="1" customWidth="1"/>
    <col min="16" max="16" width="37.109375" bestFit="1" customWidth="1"/>
    <col min="17" max="17" width="11.88671875" style="39" bestFit="1" customWidth="1"/>
    <col min="18" max="19" width="5.88671875" bestFit="1" customWidth="1"/>
  </cols>
  <sheetData>
    <row r="1" spans="1:17" ht="14.4">
      <c r="A1" s="133" t="s">
        <v>0</v>
      </c>
      <c r="B1" s="133" t="s">
        <v>1</v>
      </c>
      <c r="C1" s="134" t="s">
        <v>2</v>
      </c>
      <c r="D1" s="133"/>
      <c r="E1" s="133"/>
      <c r="F1" s="133"/>
      <c r="G1" s="133"/>
      <c r="H1" s="133"/>
      <c r="I1" s="133"/>
      <c r="J1" s="133"/>
      <c r="K1" s="133"/>
      <c r="L1" s="133"/>
      <c r="M1" s="3"/>
    </row>
    <row r="2" spans="1:17" ht="14.1" customHeight="1">
      <c r="A2" s="133"/>
      <c r="B2" s="133"/>
      <c r="C2" s="134"/>
      <c r="D2" s="133" t="s">
        <v>3</v>
      </c>
      <c r="E2" s="4" t="s">
        <v>4</v>
      </c>
      <c r="F2" s="5" t="s">
        <v>4</v>
      </c>
      <c r="G2" s="135" t="s">
        <v>5</v>
      </c>
      <c r="H2" s="133" t="s">
        <v>6</v>
      </c>
      <c r="I2" s="133" t="s">
        <v>7</v>
      </c>
      <c r="J2" s="133" t="s">
        <v>8</v>
      </c>
      <c r="K2" s="134" t="s">
        <v>9</v>
      </c>
      <c r="L2" s="134" t="s">
        <v>10</v>
      </c>
      <c r="M2" s="135" t="s">
        <v>11</v>
      </c>
      <c r="N2" s="135" t="s">
        <v>12</v>
      </c>
      <c r="O2" s="168" t="s">
        <v>13</v>
      </c>
      <c r="P2" s="168" t="s">
        <v>14</v>
      </c>
      <c r="Q2" s="140" t="s">
        <v>15</v>
      </c>
    </row>
    <row r="3" spans="1:17" ht="28.5" customHeight="1">
      <c r="A3" s="133"/>
      <c r="B3" s="133"/>
      <c r="C3" s="134"/>
      <c r="D3" s="133"/>
      <c r="E3" s="4" t="s">
        <v>16</v>
      </c>
      <c r="F3" s="5" t="s">
        <v>17</v>
      </c>
      <c r="G3" s="135"/>
      <c r="H3" s="133"/>
      <c r="I3" s="133"/>
      <c r="J3" s="133"/>
      <c r="K3" s="134"/>
      <c r="L3" s="134"/>
      <c r="M3" s="135"/>
      <c r="N3" s="135"/>
      <c r="O3" s="168"/>
      <c r="P3" s="168"/>
      <c r="Q3" s="140"/>
    </row>
    <row r="4" spans="1:17" ht="14.4">
      <c r="A4" s="7" t="s">
        <v>18</v>
      </c>
      <c r="B4" s="107" t="s">
        <v>19</v>
      </c>
      <c r="C4" s="108" t="s">
        <v>20</v>
      </c>
      <c r="D4" s="6"/>
      <c r="E4" s="9"/>
      <c r="F4" s="109"/>
      <c r="G4" s="40"/>
      <c r="H4" s="41">
        <v>9620575949</v>
      </c>
      <c r="I4" s="42">
        <v>9986206416</v>
      </c>
      <c r="J4" s="43"/>
      <c r="K4" s="75"/>
      <c r="L4" s="75"/>
      <c r="M4" s="44"/>
      <c r="N4" s="45"/>
      <c r="O4" s="46"/>
      <c r="P4" s="47"/>
      <c r="Q4" s="46"/>
    </row>
    <row r="5" spans="1:17" ht="14.4">
      <c r="A5" s="7" t="s">
        <v>26</v>
      </c>
      <c r="B5" s="107" t="s">
        <v>19</v>
      </c>
      <c r="C5" s="108" t="s">
        <v>27</v>
      </c>
      <c r="D5" s="6"/>
      <c r="E5" s="9"/>
      <c r="F5" s="109"/>
      <c r="G5" s="40"/>
      <c r="H5" s="41">
        <v>9620575949</v>
      </c>
      <c r="I5" s="42">
        <v>9986206416</v>
      </c>
      <c r="J5" s="48"/>
      <c r="K5" s="75"/>
      <c r="L5" s="75"/>
      <c r="M5" s="12"/>
      <c r="N5" s="12"/>
      <c r="O5" s="12"/>
      <c r="P5" s="12"/>
      <c r="Q5" s="46"/>
    </row>
    <row r="6" spans="1:17" ht="14.4">
      <c r="A6" s="7" t="s">
        <v>30</v>
      </c>
      <c r="B6" s="107" t="s">
        <v>19</v>
      </c>
      <c r="C6" s="108" t="s">
        <v>31</v>
      </c>
      <c r="D6" s="6"/>
      <c r="E6" s="9"/>
      <c r="F6" s="109"/>
      <c r="G6" s="40"/>
      <c r="H6" s="41">
        <v>9620575949</v>
      </c>
      <c r="I6" s="42">
        <v>9986206416</v>
      </c>
      <c r="J6" s="48"/>
      <c r="K6" s="75"/>
      <c r="L6" s="75"/>
      <c r="M6" s="12"/>
      <c r="N6" s="12"/>
      <c r="O6" s="12"/>
      <c r="P6" s="12"/>
      <c r="Q6" s="46"/>
    </row>
    <row r="7" spans="1:17" ht="14.4">
      <c r="A7" s="7" t="s">
        <v>34</v>
      </c>
      <c r="B7" s="107" t="s">
        <v>19</v>
      </c>
      <c r="C7" s="108" t="s">
        <v>35</v>
      </c>
      <c r="D7" s="6"/>
      <c r="E7" s="9"/>
      <c r="F7" s="109"/>
      <c r="G7" s="40"/>
      <c r="H7" s="41">
        <v>9620575949</v>
      </c>
      <c r="I7" s="42">
        <v>9986206416</v>
      </c>
      <c r="J7" s="48"/>
      <c r="K7" s="75"/>
      <c r="L7" s="75"/>
      <c r="M7" s="7"/>
      <c r="N7" s="7"/>
      <c r="O7" s="12"/>
      <c r="P7" s="12"/>
      <c r="Q7" s="46"/>
    </row>
    <row r="8" spans="1:17" ht="14.4">
      <c r="A8" s="7" t="s">
        <v>38</v>
      </c>
      <c r="B8" s="6" t="s">
        <v>19</v>
      </c>
      <c r="C8" s="25" t="s">
        <v>39</v>
      </c>
      <c r="D8" s="6"/>
      <c r="E8" s="9"/>
      <c r="F8" s="109"/>
      <c r="G8" s="40"/>
      <c r="H8" s="41">
        <v>9620575949</v>
      </c>
      <c r="I8" s="42">
        <v>9986206416</v>
      </c>
      <c r="J8" s="110"/>
      <c r="K8" s="75"/>
      <c r="L8" s="75"/>
      <c r="M8" s="44"/>
      <c r="N8" s="7"/>
      <c r="O8" s="12"/>
      <c r="P8" s="12"/>
      <c r="Q8" s="46"/>
    </row>
    <row r="9" spans="1:17" ht="14.4">
      <c r="A9" s="7" t="s">
        <v>40</v>
      </c>
      <c r="B9" s="13" t="s">
        <v>19</v>
      </c>
      <c r="C9" s="26" t="s">
        <v>41</v>
      </c>
      <c r="D9" s="6"/>
      <c r="E9" s="9"/>
      <c r="F9" s="109"/>
      <c r="G9" s="40"/>
      <c r="H9" s="41">
        <v>9620575949</v>
      </c>
      <c r="I9" s="42">
        <v>9986206416</v>
      </c>
      <c r="J9" s="110"/>
      <c r="K9" s="75"/>
      <c r="L9" s="75"/>
      <c r="M9" s="44"/>
      <c r="N9" s="12"/>
      <c r="O9" s="12"/>
      <c r="P9" s="12"/>
      <c r="Q9" s="46"/>
    </row>
    <row r="10" spans="1:17" ht="14.4">
      <c r="A10" s="7" t="s">
        <v>43</v>
      </c>
      <c r="B10" s="6" t="s">
        <v>19</v>
      </c>
      <c r="C10" s="25" t="s">
        <v>44</v>
      </c>
      <c r="D10" s="6"/>
      <c r="E10" s="9"/>
      <c r="F10" s="109"/>
      <c r="G10" s="40"/>
      <c r="H10" s="41">
        <v>9620575949</v>
      </c>
      <c r="I10" s="42">
        <v>9986206416</v>
      </c>
      <c r="J10" s="48"/>
      <c r="K10" s="75"/>
      <c r="L10" s="75"/>
      <c r="M10" s="44"/>
      <c r="N10" s="7"/>
      <c r="O10" s="12"/>
      <c r="P10" s="12"/>
      <c r="Q10" s="46"/>
    </row>
    <row r="11" spans="1:17" ht="14.4">
      <c r="A11" s="7" t="s">
        <v>45</v>
      </c>
      <c r="B11" s="13" t="s">
        <v>19</v>
      </c>
      <c r="C11" s="26" t="s">
        <v>46</v>
      </c>
      <c r="D11" s="6"/>
      <c r="E11" s="9"/>
      <c r="F11" s="109"/>
      <c r="G11" s="40"/>
      <c r="H11" s="41">
        <v>9620575949</v>
      </c>
      <c r="I11" s="42">
        <v>9986206416</v>
      </c>
      <c r="J11" s="48"/>
      <c r="K11" s="75"/>
      <c r="L11" s="75"/>
      <c r="M11" s="44"/>
      <c r="N11" s="12"/>
      <c r="O11" s="12"/>
      <c r="P11" s="12"/>
      <c r="Q11" s="46"/>
    </row>
    <row r="12" spans="1:17" ht="14.4">
      <c r="A12" s="7" t="s">
        <v>47</v>
      </c>
      <c r="B12" s="12" t="s">
        <v>19</v>
      </c>
      <c r="C12" s="24" t="s">
        <v>48</v>
      </c>
      <c r="D12" s="6"/>
      <c r="E12" s="9"/>
      <c r="F12" s="109"/>
      <c r="G12" s="40"/>
      <c r="H12" s="41">
        <v>9620575949</v>
      </c>
      <c r="I12" s="42">
        <v>9986206416</v>
      </c>
      <c r="J12" s="50"/>
      <c r="K12" s="75"/>
      <c r="L12" s="75"/>
      <c r="M12" s="46"/>
      <c r="N12" s="7"/>
      <c r="O12" s="12"/>
      <c r="P12" s="12"/>
      <c r="Q12" s="46"/>
    </row>
    <row r="13" spans="1:17" ht="14.4">
      <c r="A13" s="7" t="s">
        <v>49</v>
      </c>
      <c r="B13" s="12" t="s">
        <v>19</v>
      </c>
      <c r="C13" s="24" t="s">
        <v>50</v>
      </c>
      <c r="D13" s="6"/>
      <c r="E13" s="9"/>
      <c r="F13" s="109"/>
      <c r="G13" s="40"/>
      <c r="H13" s="41">
        <v>9620575949</v>
      </c>
      <c r="I13" s="42">
        <v>9986206416</v>
      </c>
      <c r="J13" s="48"/>
      <c r="K13" s="75"/>
      <c r="L13" s="75"/>
      <c r="M13" s="46"/>
      <c r="N13" s="7"/>
      <c r="O13" s="12"/>
      <c r="P13" s="12"/>
      <c r="Q13" s="46"/>
    </row>
    <row r="14" spans="1:17" ht="14.4">
      <c r="A14" s="7" t="s">
        <v>51</v>
      </c>
      <c r="B14" s="13" t="s">
        <v>19</v>
      </c>
      <c r="C14" s="24" t="s">
        <v>52</v>
      </c>
      <c r="D14" s="6"/>
      <c r="E14" s="9"/>
      <c r="F14" s="109"/>
      <c r="G14" s="103"/>
      <c r="H14" s="41">
        <v>9620575949</v>
      </c>
      <c r="I14" s="42">
        <v>9986206416</v>
      </c>
      <c r="J14" s="7"/>
      <c r="K14" s="75"/>
      <c r="L14" s="75"/>
      <c r="M14" s="75"/>
      <c r="N14" s="7"/>
      <c r="O14" s="12"/>
      <c r="P14" s="12"/>
      <c r="Q14" s="46"/>
    </row>
    <row r="15" spans="1:17" ht="14.4">
      <c r="A15" s="7" t="s">
        <v>53</v>
      </c>
      <c r="B15" s="13" t="s">
        <v>19</v>
      </c>
      <c r="C15" s="26" t="s">
        <v>54</v>
      </c>
      <c r="D15" s="6"/>
      <c r="E15" s="9"/>
      <c r="F15" s="109"/>
      <c r="G15" s="103"/>
      <c r="H15" s="41">
        <v>9620575949</v>
      </c>
      <c r="I15" s="42">
        <v>9986206416</v>
      </c>
      <c r="J15" s="7"/>
      <c r="K15" s="75"/>
      <c r="L15" s="75"/>
      <c r="M15" s="75"/>
      <c r="N15" s="7"/>
      <c r="O15" s="12"/>
      <c r="P15" s="12"/>
      <c r="Q15" s="46"/>
    </row>
    <row r="16" spans="1:17" ht="14.4">
      <c r="A16" s="7" t="s">
        <v>55</v>
      </c>
      <c r="B16" s="13" t="s">
        <v>19</v>
      </c>
      <c r="C16" s="26" t="s">
        <v>56</v>
      </c>
      <c r="D16" s="6"/>
      <c r="E16" s="9"/>
      <c r="F16" s="109"/>
      <c r="G16" s="103"/>
      <c r="H16" s="41">
        <v>9620575949</v>
      </c>
      <c r="I16" s="42">
        <v>9986206416</v>
      </c>
      <c r="J16" s="7"/>
      <c r="K16" s="75"/>
      <c r="L16" s="75"/>
      <c r="M16" s="75"/>
      <c r="N16" s="7"/>
      <c r="O16" s="12"/>
      <c r="P16" s="12"/>
      <c r="Q16" s="46"/>
    </row>
    <row r="17" spans="1:19" ht="14.4">
      <c r="A17" s="7" t="s">
        <v>57</v>
      </c>
      <c r="B17" s="13" t="s">
        <v>19</v>
      </c>
      <c r="C17" s="26" t="s">
        <v>58</v>
      </c>
      <c r="D17" s="6"/>
      <c r="E17" s="9"/>
      <c r="F17" s="109"/>
      <c r="G17" s="103"/>
      <c r="H17" s="41">
        <v>9620575949</v>
      </c>
      <c r="I17" s="42">
        <v>9986206416</v>
      </c>
      <c r="J17" s="7"/>
      <c r="K17" s="75"/>
      <c r="L17" s="75"/>
      <c r="M17" s="75"/>
      <c r="N17" s="7"/>
      <c r="O17" s="12"/>
      <c r="P17" s="12"/>
      <c r="Q17" s="46"/>
    </row>
    <row r="18" spans="1:19" ht="14.4">
      <c r="A18" s="7" t="s">
        <v>59</v>
      </c>
      <c r="B18" s="13" t="s">
        <v>19</v>
      </c>
      <c r="C18" s="26" t="s">
        <v>60</v>
      </c>
      <c r="D18" s="6"/>
      <c r="E18" s="9"/>
      <c r="F18" s="109"/>
      <c r="G18" s="40"/>
      <c r="H18" s="41">
        <v>9620575949</v>
      </c>
      <c r="I18" s="42">
        <v>9986206416</v>
      </c>
      <c r="J18" s="43"/>
      <c r="K18" s="75"/>
      <c r="L18" s="75"/>
      <c r="M18" s="13"/>
      <c r="N18" s="13"/>
      <c r="O18" s="12"/>
      <c r="P18" s="12"/>
      <c r="Q18" s="46"/>
    </row>
    <row r="19" spans="1:19" ht="14.4">
      <c r="A19" s="7" t="s">
        <v>61</v>
      </c>
      <c r="B19" s="13" t="s">
        <v>19</v>
      </c>
      <c r="C19" s="27" t="s">
        <v>62</v>
      </c>
      <c r="D19" s="6"/>
      <c r="E19" s="9"/>
      <c r="F19" s="109"/>
      <c r="G19" s="40"/>
      <c r="H19" s="41">
        <v>9620575949</v>
      </c>
      <c r="I19" s="42">
        <v>9986206416</v>
      </c>
      <c r="J19" s="43"/>
      <c r="K19" s="75"/>
      <c r="L19" s="75"/>
      <c r="M19" s="13"/>
      <c r="N19" s="13"/>
      <c r="O19" s="12"/>
      <c r="P19" s="12"/>
      <c r="Q19" s="46"/>
    </row>
    <row r="20" spans="1:19" ht="14.4">
      <c r="A20" s="7" t="s">
        <v>63</v>
      </c>
      <c r="B20" s="13" t="s">
        <v>19</v>
      </c>
      <c r="C20" s="27" t="s">
        <v>64</v>
      </c>
      <c r="D20" s="6"/>
      <c r="E20" s="9"/>
      <c r="F20" s="109"/>
      <c r="G20" s="40"/>
      <c r="H20" s="41">
        <v>9620575949</v>
      </c>
      <c r="I20" s="42">
        <v>9986206416</v>
      </c>
      <c r="J20" s="43"/>
      <c r="K20" s="75"/>
      <c r="L20" s="75"/>
      <c r="M20" s="13"/>
      <c r="N20" s="13"/>
      <c r="O20" s="12"/>
      <c r="P20" s="12"/>
      <c r="Q20" s="46"/>
    </row>
    <row r="21" spans="1:19" ht="14.4">
      <c r="A21" s="7" t="s">
        <v>66</v>
      </c>
      <c r="B21" s="13" t="s">
        <v>19</v>
      </c>
      <c r="C21" s="26" t="s">
        <v>67</v>
      </c>
      <c r="D21" s="6"/>
      <c r="E21" s="9"/>
      <c r="F21" s="109"/>
      <c r="G21" s="40"/>
      <c r="H21" s="41">
        <v>9620575949</v>
      </c>
      <c r="I21" s="42">
        <v>9986206416</v>
      </c>
      <c r="J21" s="43"/>
      <c r="K21" s="75"/>
      <c r="L21" s="75"/>
      <c r="M21" s="13"/>
      <c r="N21" s="13"/>
      <c r="O21" s="12"/>
      <c r="P21" s="12"/>
      <c r="Q21" s="46"/>
      <c r="R21">
        <v>12345</v>
      </c>
      <c r="S21">
        <v>54321</v>
      </c>
    </row>
    <row r="22" spans="1:19" ht="14.4">
      <c r="A22" s="7" t="s">
        <v>68</v>
      </c>
      <c r="B22" s="13" t="s">
        <v>19</v>
      </c>
      <c r="C22" s="27" t="s">
        <v>69</v>
      </c>
      <c r="D22" s="6"/>
      <c r="E22" s="9">
        <v>46196</v>
      </c>
      <c r="F22" s="109"/>
      <c r="G22" s="40"/>
      <c r="H22" s="41">
        <v>9620575949</v>
      </c>
      <c r="I22" s="42">
        <v>9986206416</v>
      </c>
      <c r="J22" s="52"/>
      <c r="K22" s="75">
        <v>9620575949</v>
      </c>
      <c r="L22" s="75" t="s">
        <v>22</v>
      </c>
      <c r="M22" s="13"/>
      <c r="N22" s="13"/>
      <c r="O22" s="12"/>
      <c r="P22" s="12"/>
      <c r="Q22" s="46"/>
    </row>
    <row r="23" spans="1:19" ht="14.4">
      <c r="A23" s="7" t="s">
        <v>70</v>
      </c>
      <c r="B23" s="13" t="s">
        <v>19</v>
      </c>
      <c r="C23" s="27" t="s">
        <v>71</v>
      </c>
      <c r="D23" s="6"/>
      <c r="E23" s="9">
        <v>46196</v>
      </c>
      <c r="F23" s="109"/>
      <c r="G23" s="40"/>
      <c r="H23" s="41">
        <v>9620575949</v>
      </c>
      <c r="I23" s="42">
        <v>9986206416</v>
      </c>
      <c r="J23" s="52"/>
      <c r="K23" s="75" t="s">
        <v>22</v>
      </c>
      <c r="L23" s="75">
        <v>9620575949</v>
      </c>
      <c r="M23" s="13"/>
      <c r="N23" s="13"/>
      <c r="O23" s="12"/>
      <c r="P23" s="12"/>
      <c r="Q23" s="46"/>
    </row>
    <row r="24" spans="1:19" ht="14.4">
      <c r="A24" s="7" t="s">
        <v>72</v>
      </c>
      <c r="B24" s="13" t="s">
        <v>19</v>
      </c>
      <c r="C24" s="27" t="s">
        <v>73</v>
      </c>
      <c r="D24" s="6"/>
      <c r="E24" s="9">
        <v>46196</v>
      </c>
      <c r="F24" s="109"/>
      <c r="G24" s="40"/>
      <c r="H24" s="41">
        <v>9620575949</v>
      </c>
      <c r="I24" s="42">
        <v>9986206416</v>
      </c>
      <c r="J24" s="52"/>
      <c r="K24" s="75">
        <v>9620575949</v>
      </c>
      <c r="L24" s="75" t="s">
        <v>22</v>
      </c>
      <c r="M24" s="13"/>
      <c r="N24" s="13"/>
      <c r="O24" s="12"/>
      <c r="P24" s="12"/>
      <c r="Q24" s="46"/>
    </row>
    <row r="25" spans="1:19" ht="14.4">
      <c r="A25" s="7" t="s">
        <v>74</v>
      </c>
      <c r="B25" s="13" t="s">
        <v>19</v>
      </c>
      <c r="C25" s="27" t="s">
        <v>75</v>
      </c>
      <c r="D25" s="6"/>
      <c r="E25" s="9">
        <v>46196</v>
      </c>
      <c r="F25" s="109"/>
      <c r="G25" s="40"/>
      <c r="H25" s="41">
        <v>9620575949</v>
      </c>
      <c r="I25" s="42">
        <v>9986206416</v>
      </c>
      <c r="J25" s="52"/>
      <c r="K25" s="75" t="s">
        <v>22</v>
      </c>
      <c r="L25" s="75">
        <v>9620575949</v>
      </c>
      <c r="M25" s="13"/>
      <c r="N25" s="13"/>
      <c r="O25" s="12"/>
      <c r="P25" s="12"/>
      <c r="Q25" s="46"/>
    </row>
    <row r="26" spans="1:19" ht="14.4">
      <c r="A26" s="7" t="s">
        <v>76</v>
      </c>
      <c r="B26" s="13" t="s">
        <v>19</v>
      </c>
      <c r="C26" s="27" t="s">
        <v>77</v>
      </c>
      <c r="D26" s="6"/>
      <c r="E26" s="9">
        <v>46196</v>
      </c>
      <c r="F26" s="109"/>
      <c r="G26" s="40"/>
      <c r="H26" s="41">
        <v>9620575949</v>
      </c>
      <c r="I26" s="42">
        <v>9986206416</v>
      </c>
      <c r="J26" s="52"/>
      <c r="K26" s="75">
        <v>9620575949</v>
      </c>
      <c r="L26" s="75" t="s">
        <v>22</v>
      </c>
      <c r="M26" s="13"/>
      <c r="N26" s="13"/>
      <c r="O26" s="12"/>
      <c r="P26" s="12"/>
      <c r="Q26" s="46"/>
    </row>
    <row r="27" spans="1:19" ht="14.4">
      <c r="A27" s="7" t="s">
        <v>78</v>
      </c>
      <c r="B27" s="13" t="s">
        <v>19</v>
      </c>
      <c r="C27" s="27" t="s">
        <v>79</v>
      </c>
      <c r="D27" s="6"/>
      <c r="E27" s="9">
        <v>46196</v>
      </c>
      <c r="F27" s="109"/>
      <c r="G27" s="40"/>
      <c r="H27" s="41">
        <v>9620575949</v>
      </c>
      <c r="I27" s="42">
        <v>9986206416</v>
      </c>
      <c r="J27" s="52"/>
      <c r="K27" s="75">
        <v>9620575949</v>
      </c>
      <c r="L27" s="75" t="s">
        <v>22</v>
      </c>
      <c r="M27" s="13"/>
      <c r="N27" s="13"/>
      <c r="O27" s="12"/>
      <c r="P27" s="12"/>
      <c r="Q27" s="46"/>
    </row>
    <row r="28" spans="1:19" ht="14.4">
      <c r="A28" s="16" t="s">
        <v>80</v>
      </c>
      <c r="B28" s="16" t="s">
        <v>81</v>
      </c>
      <c r="C28" s="28" t="s">
        <v>82</v>
      </c>
      <c r="D28" s="15"/>
      <c r="E28" s="111">
        <v>46197</v>
      </c>
      <c r="F28" s="112">
        <v>0.43611111111111112</v>
      </c>
      <c r="G28" s="53">
        <v>4.1666666666666664E-2</v>
      </c>
      <c r="H28" s="54">
        <v>404446911249954</v>
      </c>
      <c r="I28" s="15">
        <v>9986206416</v>
      </c>
      <c r="J28" s="55"/>
      <c r="K28" s="117">
        <v>8722830754</v>
      </c>
      <c r="L28" s="117" t="s">
        <v>22</v>
      </c>
      <c r="M28" s="17"/>
      <c r="N28" s="17"/>
      <c r="O28" s="17"/>
      <c r="P28" s="17"/>
      <c r="Q28" s="56"/>
    </row>
    <row r="29" spans="1:19" ht="14.4">
      <c r="A29" s="16" t="s">
        <v>83</v>
      </c>
      <c r="B29" s="16" t="s">
        <v>81</v>
      </c>
      <c r="C29" s="28" t="s">
        <v>84</v>
      </c>
      <c r="D29" s="15"/>
      <c r="E29" s="111">
        <v>46197</v>
      </c>
      <c r="F29" s="112">
        <v>0.43680555555555556</v>
      </c>
      <c r="G29" s="53">
        <v>4.1666666666666664E-2</v>
      </c>
      <c r="H29" s="54">
        <v>404446911249954</v>
      </c>
      <c r="I29" s="15">
        <v>9986206416</v>
      </c>
      <c r="J29" s="55"/>
      <c r="K29" s="76" t="s">
        <v>22</v>
      </c>
      <c r="L29" s="117">
        <v>8722830754</v>
      </c>
      <c r="M29" s="17"/>
      <c r="N29" s="17"/>
      <c r="O29" s="17"/>
      <c r="P29" s="17"/>
      <c r="Q29" s="56"/>
    </row>
    <row r="30" spans="1:19" ht="14.4">
      <c r="A30" s="16" t="s">
        <v>85</v>
      </c>
      <c r="B30" s="16" t="s">
        <v>81</v>
      </c>
      <c r="C30" s="28" t="s">
        <v>86</v>
      </c>
      <c r="D30" s="15"/>
      <c r="E30" s="111">
        <v>46197</v>
      </c>
      <c r="F30" s="112">
        <v>0.43819444444444444</v>
      </c>
      <c r="G30" s="53">
        <v>4.1666666666666664E-2</v>
      </c>
      <c r="H30" s="54">
        <v>404446911249954</v>
      </c>
      <c r="I30" s="15">
        <v>9986206416</v>
      </c>
      <c r="J30" s="55"/>
      <c r="K30" s="117">
        <v>8722830754</v>
      </c>
      <c r="L30" s="113">
        <v>8018886621</v>
      </c>
      <c r="M30" s="17"/>
      <c r="N30" s="17"/>
      <c r="O30" s="17"/>
      <c r="P30" s="17"/>
      <c r="Q30" s="56"/>
    </row>
    <row r="31" spans="1:19" ht="14.4">
      <c r="A31" s="16" t="s">
        <v>87</v>
      </c>
      <c r="B31" s="16" t="s">
        <v>81</v>
      </c>
      <c r="C31" s="28" t="s">
        <v>88</v>
      </c>
      <c r="D31" s="15"/>
      <c r="E31" s="111">
        <v>46197</v>
      </c>
      <c r="F31" s="112">
        <v>0.43958333333333333</v>
      </c>
      <c r="G31" s="53">
        <v>4.1666666666666664E-2</v>
      </c>
      <c r="H31" s="54">
        <v>404446911249954</v>
      </c>
      <c r="I31" s="15">
        <v>9986206416</v>
      </c>
      <c r="J31" s="55"/>
      <c r="K31" s="113">
        <v>8018886621</v>
      </c>
      <c r="L31" s="117">
        <v>8722830754</v>
      </c>
      <c r="M31" s="17"/>
      <c r="N31" s="17"/>
      <c r="O31" s="17"/>
      <c r="P31" s="17"/>
      <c r="Q31" s="56"/>
    </row>
    <row r="32" spans="1:19" ht="14.4">
      <c r="A32" s="18" t="s">
        <v>89</v>
      </c>
      <c r="B32" s="18" t="s">
        <v>90</v>
      </c>
      <c r="C32" s="29" t="s">
        <v>82</v>
      </c>
      <c r="D32" s="19"/>
      <c r="E32" s="20"/>
      <c r="F32" s="114"/>
      <c r="G32" s="57"/>
      <c r="H32" s="58"/>
      <c r="I32" s="59">
        <v>9986206416</v>
      </c>
      <c r="J32" s="22"/>
      <c r="K32" s="78"/>
      <c r="L32" s="78"/>
      <c r="M32" s="23"/>
      <c r="N32" s="23"/>
      <c r="O32" s="23"/>
      <c r="P32" s="23"/>
      <c r="Q32" s="60"/>
    </row>
    <row r="33" spans="1:17" ht="14.4">
      <c r="A33" s="18" t="s">
        <v>91</v>
      </c>
      <c r="B33" s="18" t="s">
        <v>90</v>
      </c>
      <c r="C33" s="29" t="s">
        <v>84</v>
      </c>
      <c r="D33" s="19"/>
      <c r="E33" s="20"/>
      <c r="F33" s="114"/>
      <c r="G33" s="57"/>
      <c r="H33" s="58"/>
      <c r="I33" s="59">
        <v>9986206416</v>
      </c>
      <c r="J33" s="22"/>
      <c r="K33" s="78"/>
      <c r="L33" s="78"/>
      <c r="M33" s="23"/>
      <c r="N33" s="23"/>
      <c r="O33" s="23"/>
      <c r="P33" s="23"/>
      <c r="Q33" s="60"/>
    </row>
    <row r="34" spans="1:17" ht="14.4">
      <c r="A34" s="18" t="s">
        <v>92</v>
      </c>
      <c r="B34" s="18" t="s">
        <v>90</v>
      </c>
      <c r="C34" s="29" t="s">
        <v>86</v>
      </c>
      <c r="D34" s="19"/>
      <c r="E34" s="20"/>
      <c r="F34" s="114"/>
      <c r="G34" s="57"/>
      <c r="H34" s="58"/>
      <c r="I34" s="59">
        <v>9986206416</v>
      </c>
      <c r="J34" s="22"/>
      <c r="K34" s="78"/>
      <c r="L34" s="78"/>
      <c r="M34" s="23"/>
      <c r="N34" s="23"/>
      <c r="O34" s="23"/>
      <c r="P34" s="23"/>
      <c r="Q34" s="60"/>
    </row>
    <row r="35" spans="1:17" s="92" customFormat="1" ht="15" thickBot="1">
      <c r="A35" s="79" t="s">
        <v>93</v>
      </c>
      <c r="B35" s="79" t="s">
        <v>90</v>
      </c>
      <c r="C35" s="80" t="s">
        <v>88</v>
      </c>
      <c r="D35" s="115"/>
      <c r="E35" s="82"/>
      <c r="F35" s="116"/>
      <c r="G35" s="84"/>
      <c r="H35" s="85"/>
      <c r="I35" s="59">
        <v>9986206416</v>
      </c>
      <c r="J35" s="87"/>
      <c r="K35" s="88"/>
      <c r="L35" s="89"/>
      <c r="M35" s="86"/>
      <c r="N35" s="86"/>
      <c r="O35" s="86"/>
      <c r="P35" s="90"/>
      <c r="Q35" s="91"/>
    </row>
    <row r="36" spans="1:17" ht="14.4" thickBot="1">
      <c r="E36" s="68"/>
      <c r="F36" s="67"/>
      <c r="G36" s="67"/>
    </row>
    <row r="37" spans="1:17" ht="13.5" customHeight="1" thickBot="1">
      <c r="A37" s="147" t="s">
        <v>94</v>
      </c>
      <c r="B37" s="148"/>
      <c r="C37" s="148"/>
      <c r="D37" s="148"/>
      <c r="E37" s="148"/>
      <c r="F37" s="149"/>
    </row>
    <row r="39" spans="1:17" ht="14.4">
      <c r="A39" s="133" t="s">
        <v>0</v>
      </c>
      <c r="B39" s="133" t="s">
        <v>1</v>
      </c>
      <c r="C39" s="134" t="s">
        <v>2</v>
      </c>
      <c r="D39" s="133"/>
      <c r="E39" s="133"/>
      <c r="F39" s="133"/>
      <c r="G39" s="133"/>
      <c r="H39" s="133"/>
      <c r="I39" s="133"/>
      <c r="J39" s="133"/>
      <c r="K39" s="133"/>
      <c r="L39" s="133"/>
      <c r="M39" s="3"/>
    </row>
    <row r="40" spans="1:17" ht="14.1" customHeight="1">
      <c r="A40" s="133"/>
      <c r="B40" s="133"/>
      <c r="C40" s="134"/>
      <c r="D40" s="133" t="s">
        <v>3</v>
      </c>
      <c r="E40" s="4" t="s">
        <v>4</v>
      </c>
      <c r="F40" s="5" t="s">
        <v>4</v>
      </c>
      <c r="G40" s="135" t="s">
        <v>5</v>
      </c>
      <c r="H40" s="133" t="s">
        <v>6</v>
      </c>
      <c r="I40" s="133" t="s">
        <v>7</v>
      </c>
      <c r="J40" s="133" t="s">
        <v>8</v>
      </c>
      <c r="K40" s="134" t="s">
        <v>9</v>
      </c>
      <c r="L40" s="134" t="s">
        <v>10</v>
      </c>
      <c r="M40" s="135" t="s">
        <v>11</v>
      </c>
      <c r="N40" s="135" t="s">
        <v>12</v>
      </c>
      <c r="O40" s="168" t="s">
        <v>13</v>
      </c>
      <c r="P40" s="168" t="s">
        <v>14</v>
      </c>
    </row>
    <row r="41" spans="1:17" ht="27.6" customHeight="1">
      <c r="A41" s="133"/>
      <c r="B41" s="133"/>
      <c r="C41" s="134"/>
      <c r="D41" s="133"/>
      <c r="E41" s="4" t="s">
        <v>16</v>
      </c>
      <c r="F41" s="5" t="s">
        <v>17</v>
      </c>
      <c r="G41" s="135"/>
      <c r="H41" s="133"/>
      <c r="I41" s="133"/>
      <c r="J41" s="133"/>
      <c r="K41" s="134"/>
      <c r="L41" s="134"/>
      <c r="M41" s="135"/>
      <c r="N41" s="135"/>
      <c r="O41" s="168"/>
      <c r="P41" s="168"/>
    </row>
    <row r="42" spans="1:17" ht="14.4">
      <c r="A42" s="12" t="s">
        <v>18</v>
      </c>
      <c r="B42" s="12" t="s">
        <v>19</v>
      </c>
      <c r="C42" s="24" t="s">
        <v>82</v>
      </c>
      <c r="D42" s="7"/>
      <c r="E42" s="9"/>
      <c r="F42" s="109"/>
      <c r="G42" s="14"/>
      <c r="H42" s="41"/>
      <c r="I42" s="6"/>
      <c r="J42" s="7"/>
      <c r="K42" s="41"/>
      <c r="L42" s="41"/>
      <c r="M42" s="12"/>
      <c r="N42" s="12"/>
      <c r="O42" s="12"/>
      <c r="P42" s="12"/>
    </row>
    <row r="43" spans="1:17" ht="14.4">
      <c r="A43" s="12" t="s">
        <v>23</v>
      </c>
      <c r="B43" s="12" t="s">
        <v>19</v>
      </c>
      <c r="C43" s="24" t="s">
        <v>84</v>
      </c>
      <c r="D43" s="7"/>
      <c r="E43" s="9"/>
      <c r="F43" s="109"/>
      <c r="G43" s="14"/>
      <c r="H43" s="41"/>
      <c r="I43" s="6"/>
      <c r="J43" s="7"/>
      <c r="K43" s="41"/>
      <c r="L43" s="41"/>
      <c r="M43" s="12"/>
      <c r="N43" s="12"/>
      <c r="O43" s="12"/>
      <c r="P43" s="12"/>
    </row>
    <row r="44" spans="1:17" ht="14.4">
      <c r="A44" s="12" t="s">
        <v>26</v>
      </c>
      <c r="B44" s="12" t="s">
        <v>19</v>
      </c>
      <c r="C44" s="24" t="s">
        <v>86</v>
      </c>
      <c r="D44" s="7"/>
      <c r="E44" s="9"/>
      <c r="F44" s="109"/>
      <c r="G44" s="14"/>
      <c r="H44" s="41"/>
      <c r="I44" s="6"/>
      <c r="J44" s="7"/>
      <c r="K44" s="41"/>
      <c r="L44" s="7"/>
      <c r="M44" s="12"/>
      <c r="N44" s="12"/>
      <c r="O44" s="12"/>
      <c r="P44" s="12"/>
    </row>
    <row r="45" spans="1:17" ht="14.4">
      <c r="A45" s="6" t="s">
        <v>28</v>
      </c>
      <c r="B45" s="6" t="s">
        <v>81</v>
      </c>
      <c r="C45" s="25" t="s">
        <v>88</v>
      </c>
      <c r="D45" s="6"/>
      <c r="E45" s="9"/>
      <c r="F45" s="109"/>
      <c r="G45" s="14"/>
      <c r="H45" s="41"/>
      <c r="I45" s="6"/>
      <c r="J45" s="6"/>
      <c r="K45" s="7"/>
      <c r="L45" s="41"/>
      <c r="M45" s="7"/>
      <c r="N45" s="7"/>
      <c r="O45" s="12"/>
      <c r="P45" s="12"/>
    </row>
    <row r="49" spans="1:16" ht="14.4">
      <c r="A49" s="133" t="s">
        <v>0</v>
      </c>
      <c r="B49" s="133" t="s">
        <v>1</v>
      </c>
      <c r="C49" s="134" t="s">
        <v>2</v>
      </c>
      <c r="D49" s="133"/>
      <c r="E49" s="133"/>
      <c r="F49" s="133"/>
      <c r="G49" s="133"/>
      <c r="H49" s="133"/>
      <c r="I49" s="133"/>
      <c r="J49" s="133"/>
      <c r="K49" s="133"/>
      <c r="L49" s="133"/>
      <c r="M49" s="3"/>
    </row>
    <row r="50" spans="1:16" ht="14.4">
      <c r="A50" s="133"/>
      <c r="B50" s="133"/>
      <c r="C50" s="134"/>
      <c r="D50" s="133" t="s">
        <v>3</v>
      </c>
      <c r="E50" s="4" t="s">
        <v>4</v>
      </c>
      <c r="F50" s="5" t="s">
        <v>4</v>
      </c>
      <c r="G50" s="135" t="s">
        <v>5</v>
      </c>
      <c r="H50" s="133" t="s">
        <v>6</v>
      </c>
      <c r="I50" s="133" t="s">
        <v>7</v>
      </c>
      <c r="J50" s="133" t="s">
        <v>8</v>
      </c>
      <c r="K50" s="134" t="s">
        <v>9</v>
      </c>
      <c r="L50" s="134" t="s">
        <v>10</v>
      </c>
      <c r="M50" s="135" t="s">
        <v>11</v>
      </c>
      <c r="N50" s="135" t="s">
        <v>12</v>
      </c>
      <c r="O50" s="168" t="s">
        <v>13</v>
      </c>
      <c r="P50" s="168" t="s">
        <v>14</v>
      </c>
    </row>
    <row r="51" spans="1:16" ht="14.4">
      <c r="A51" s="133"/>
      <c r="B51" s="133"/>
      <c r="C51" s="134"/>
      <c r="D51" s="133"/>
      <c r="E51" s="4" t="s">
        <v>16</v>
      </c>
      <c r="F51" s="5" t="s">
        <v>17</v>
      </c>
      <c r="G51" s="135"/>
      <c r="H51" s="133"/>
      <c r="I51" s="133"/>
      <c r="J51" s="133"/>
      <c r="K51" s="134"/>
      <c r="L51" s="134"/>
      <c r="M51" s="135"/>
      <c r="N51" s="135"/>
      <c r="O51" s="168"/>
      <c r="P51" s="168"/>
    </row>
    <row r="52" spans="1:16" ht="14.4">
      <c r="A52" s="12" t="s">
        <v>18</v>
      </c>
      <c r="B52" s="12" t="s">
        <v>19</v>
      </c>
      <c r="C52" s="24" t="s">
        <v>82</v>
      </c>
      <c r="D52" s="7"/>
      <c r="E52" s="9"/>
      <c r="F52" s="109"/>
      <c r="G52" s="14"/>
      <c r="H52" s="41"/>
      <c r="I52" s="6"/>
      <c r="J52" s="7"/>
      <c r="K52" s="41"/>
      <c r="L52" s="41"/>
      <c r="M52" s="12"/>
      <c r="N52" s="12"/>
      <c r="O52" s="12"/>
      <c r="P52" s="12"/>
    </row>
    <row r="53" spans="1:16" ht="14.4">
      <c r="A53" s="12" t="s">
        <v>23</v>
      </c>
      <c r="B53" s="12" t="s">
        <v>19</v>
      </c>
      <c r="C53" s="24" t="s">
        <v>84</v>
      </c>
      <c r="D53" s="7"/>
      <c r="E53" s="9"/>
      <c r="F53" s="109"/>
      <c r="G53" s="14"/>
      <c r="H53" s="41"/>
      <c r="I53" s="6"/>
      <c r="J53" s="7"/>
      <c r="K53" s="41"/>
      <c r="L53" s="41"/>
      <c r="M53" s="12"/>
      <c r="N53" s="12"/>
      <c r="O53" s="12"/>
      <c r="P53" s="12"/>
    </row>
    <row r="54" spans="1:16" ht="14.4">
      <c r="A54" s="12" t="s">
        <v>26</v>
      </c>
      <c r="B54" s="12" t="s">
        <v>19</v>
      </c>
      <c r="C54" s="24" t="s">
        <v>86</v>
      </c>
      <c r="D54" s="7"/>
      <c r="E54" s="9"/>
      <c r="F54" s="109"/>
      <c r="G54" s="14"/>
      <c r="H54" s="41"/>
      <c r="I54" s="6"/>
      <c r="J54" s="7"/>
      <c r="K54" s="41"/>
      <c r="L54" s="7"/>
      <c r="M54" s="12"/>
      <c r="N54" s="12"/>
      <c r="O54" s="12"/>
      <c r="P54" s="12"/>
    </row>
    <row r="55" spans="1:16" ht="14.4">
      <c r="A55" s="6" t="s">
        <v>28</v>
      </c>
      <c r="B55" s="6" t="s">
        <v>81</v>
      </c>
      <c r="C55" s="25" t="s">
        <v>88</v>
      </c>
      <c r="D55" s="6"/>
      <c r="E55" s="9"/>
      <c r="F55" s="109"/>
      <c r="G55" s="14"/>
      <c r="H55" s="41"/>
      <c r="I55" s="6"/>
      <c r="J55" s="6"/>
      <c r="K55" s="7"/>
      <c r="L55" s="41"/>
      <c r="M55" s="7"/>
      <c r="N55" s="7"/>
      <c r="O55" s="12"/>
      <c r="P55" s="12"/>
    </row>
    <row r="56" spans="1:16" ht="14.1" customHeight="1"/>
    <row r="61" spans="1:16" ht="14.4" thickBot="1"/>
    <row r="62" spans="1:16" ht="15" thickBot="1">
      <c r="B62" s="34" t="s">
        <v>95</v>
      </c>
      <c r="C62" s="138" t="s">
        <v>96</v>
      </c>
      <c r="D62" s="139"/>
      <c r="E62" s="139"/>
      <c r="F62" s="35" t="s">
        <v>97</v>
      </c>
      <c r="G62" s="36"/>
    </row>
    <row r="63" spans="1:16" ht="15.6" customHeight="1">
      <c r="B63" s="31">
        <v>1</v>
      </c>
      <c r="C63" s="32" t="s">
        <v>98</v>
      </c>
      <c r="D63" s="32"/>
      <c r="E63" s="33"/>
      <c r="F63" s="141"/>
      <c r="G63" s="142"/>
    </row>
    <row r="64" spans="1:16" ht="14.4">
      <c r="B64" s="6">
        <v>2</v>
      </c>
      <c r="C64" s="136" t="s">
        <v>99</v>
      </c>
      <c r="D64" s="137"/>
      <c r="E64" s="137"/>
      <c r="F64" s="143"/>
      <c r="G64" s="144"/>
    </row>
    <row r="65" spans="2:7" ht="15" customHeight="1" thickBot="1">
      <c r="B65" s="6">
        <v>3</v>
      </c>
      <c r="C65" s="136" t="s">
        <v>100</v>
      </c>
      <c r="D65" s="137"/>
      <c r="E65" s="137"/>
      <c r="F65" s="145"/>
      <c r="G65" s="146"/>
    </row>
  </sheetData>
  <mergeCells count="53">
    <mergeCell ref="C64:E64"/>
    <mergeCell ref="F64:G64"/>
    <mergeCell ref="C65:E65"/>
    <mergeCell ref="F65:G65"/>
    <mergeCell ref="M50:M51"/>
    <mergeCell ref="N50:N51"/>
    <mergeCell ref="O50:O51"/>
    <mergeCell ref="P50:P51"/>
    <mergeCell ref="F63:G63"/>
    <mergeCell ref="C62:E62"/>
    <mergeCell ref="A49:A51"/>
    <mergeCell ref="B49:B51"/>
    <mergeCell ref="C49:C51"/>
    <mergeCell ref="D49:L49"/>
    <mergeCell ref="D50:D51"/>
    <mergeCell ref="G50:G51"/>
    <mergeCell ref="H50:H51"/>
    <mergeCell ref="I50:I51"/>
    <mergeCell ref="J50:J51"/>
    <mergeCell ref="K50:K51"/>
    <mergeCell ref="L50:L51"/>
    <mergeCell ref="P40:P41"/>
    <mergeCell ref="A37:F37"/>
    <mergeCell ref="A39:A41"/>
    <mergeCell ref="B39:B41"/>
    <mergeCell ref="C39:C41"/>
    <mergeCell ref="D39:L39"/>
    <mergeCell ref="D40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Q2:Q3"/>
    <mergeCell ref="A1:A3"/>
    <mergeCell ref="B1:B3"/>
    <mergeCell ref="C1:C3"/>
    <mergeCell ref="D1:L1"/>
    <mergeCell ref="D2:D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O4 Q4:Q27">
    <cfRule type="expression" dxfId="0" priority="1" stopIfTrue="1">
      <formula>#REF!="P"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D2A0-E4D4-4630-96AB-AF884F4790BC}">
  <dimension ref="A1:S69"/>
  <sheetViews>
    <sheetView topLeftCell="C20" workbookViewId="0">
      <selection activeCell="H44" sqref="H44:H45"/>
    </sheetView>
  </sheetViews>
  <sheetFormatPr defaultColWidth="13" defaultRowHeight="13.8"/>
  <cols>
    <col min="1" max="1" width="9.5546875" bestFit="1" customWidth="1"/>
    <col min="2" max="2" width="10.33203125" customWidth="1"/>
    <col min="3" max="3" width="56.6640625" style="30" customWidth="1"/>
    <col min="4" max="4" width="14.88671875" customWidth="1"/>
    <col min="5" max="5" width="16" customWidth="1"/>
    <col min="6" max="6" width="11.6640625" bestFit="1" customWidth="1"/>
    <col min="7" max="7" width="13.88671875" customWidth="1"/>
    <col min="8" max="8" width="20.33203125" customWidth="1"/>
    <col min="9" max="9" width="16.6640625" bestFit="1" customWidth="1"/>
    <col min="11" max="12" width="15.109375" customWidth="1"/>
    <col min="13" max="13" width="11.88671875" bestFit="1" customWidth="1"/>
    <col min="14" max="14" width="18.6640625" customWidth="1"/>
    <col min="15" max="15" width="17" customWidth="1"/>
    <col min="16" max="16" width="16.5546875" customWidth="1"/>
    <col min="17" max="17" width="13" style="39"/>
  </cols>
  <sheetData>
    <row r="1" spans="1:17" ht="14.4">
      <c r="A1" s="133" t="s">
        <v>0</v>
      </c>
      <c r="B1" s="133" t="s">
        <v>1</v>
      </c>
      <c r="C1" s="134" t="s">
        <v>2</v>
      </c>
      <c r="D1" s="133"/>
      <c r="E1" s="133"/>
      <c r="F1" s="133"/>
      <c r="G1" s="133"/>
      <c r="H1" s="133"/>
      <c r="I1" s="133"/>
      <c r="J1" s="133"/>
      <c r="K1" s="133"/>
      <c r="L1" s="133"/>
      <c r="M1" s="3"/>
    </row>
    <row r="2" spans="1:17" ht="14.1" customHeight="1">
      <c r="A2" s="133"/>
      <c r="B2" s="133"/>
      <c r="C2" s="134"/>
      <c r="D2" s="133" t="s">
        <v>3</v>
      </c>
      <c r="E2" s="4" t="s">
        <v>4</v>
      </c>
      <c r="F2" s="5" t="s">
        <v>4</v>
      </c>
      <c r="G2" s="135" t="s">
        <v>5</v>
      </c>
      <c r="H2" s="133" t="s">
        <v>6</v>
      </c>
      <c r="I2" s="133" t="s">
        <v>7</v>
      </c>
      <c r="J2" s="133" t="s">
        <v>8</v>
      </c>
      <c r="K2" s="134" t="s">
        <v>9</v>
      </c>
      <c r="L2" s="134" t="s">
        <v>10</v>
      </c>
      <c r="M2" s="135" t="s">
        <v>11</v>
      </c>
      <c r="N2" s="135" t="s">
        <v>12</v>
      </c>
      <c r="O2" s="132" t="s">
        <v>13</v>
      </c>
      <c r="P2" s="132" t="s">
        <v>14</v>
      </c>
      <c r="Q2" s="140" t="s">
        <v>15</v>
      </c>
    </row>
    <row r="3" spans="1:17" ht="28.5" customHeight="1">
      <c r="A3" s="133"/>
      <c r="B3" s="133"/>
      <c r="C3" s="134"/>
      <c r="D3" s="133"/>
      <c r="E3" s="4" t="s">
        <v>16</v>
      </c>
      <c r="F3" s="5" t="s">
        <v>17</v>
      </c>
      <c r="G3" s="135"/>
      <c r="H3" s="133"/>
      <c r="I3" s="133"/>
      <c r="J3" s="133"/>
      <c r="K3" s="134"/>
      <c r="L3" s="134"/>
      <c r="M3" s="135"/>
      <c r="N3" s="135"/>
      <c r="O3" s="132"/>
      <c r="P3" s="132"/>
      <c r="Q3" s="140"/>
    </row>
    <row r="4" spans="1:17" ht="14.4">
      <c r="A4" s="8" t="s">
        <v>18</v>
      </c>
      <c r="B4" s="37" t="s">
        <v>19</v>
      </c>
      <c r="C4" s="69" t="s">
        <v>20</v>
      </c>
      <c r="D4" s="11" t="s">
        <v>21</v>
      </c>
      <c r="E4" s="9">
        <v>46196</v>
      </c>
      <c r="F4" s="10">
        <v>0.73472222222222228</v>
      </c>
      <c r="G4" s="40">
        <v>4.1666666666666664E-2</v>
      </c>
      <c r="H4" s="61">
        <v>9916899497</v>
      </c>
      <c r="I4" s="42">
        <v>9986206416</v>
      </c>
      <c r="J4" s="43"/>
      <c r="K4" s="73">
        <v>9916899497</v>
      </c>
      <c r="L4" s="73">
        <v>9743278355</v>
      </c>
      <c r="M4" s="44"/>
      <c r="N4" s="45"/>
      <c r="O4" s="46"/>
      <c r="P4" s="47"/>
      <c r="Q4" s="46"/>
    </row>
    <row r="5" spans="1:17" ht="28.8">
      <c r="A5" s="8" t="s">
        <v>23</v>
      </c>
      <c r="B5" s="37" t="s">
        <v>19</v>
      </c>
      <c r="C5" s="38" t="s">
        <v>24</v>
      </c>
      <c r="D5" s="8" t="s">
        <v>25</v>
      </c>
      <c r="E5" s="9"/>
      <c r="F5" s="10"/>
      <c r="G5" s="14"/>
      <c r="H5" s="61">
        <v>9620575949</v>
      </c>
      <c r="I5" s="42">
        <v>9986206416</v>
      </c>
      <c r="J5" s="7"/>
      <c r="M5" s="12"/>
      <c r="N5" s="12"/>
      <c r="O5" s="12"/>
      <c r="P5" s="12"/>
      <c r="Q5" s="51"/>
    </row>
    <row r="6" spans="1:17" ht="28.8">
      <c r="A6" s="8" t="s">
        <v>26</v>
      </c>
      <c r="B6" s="37" t="s">
        <v>19</v>
      </c>
      <c r="C6" s="69" t="s">
        <v>27</v>
      </c>
      <c r="D6" s="11" t="s">
        <v>21</v>
      </c>
      <c r="E6" s="9">
        <v>46196</v>
      </c>
      <c r="F6" s="10">
        <v>0.73541666666666672</v>
      </c>
      <c r="G6" s="40">
        <v>4.1666666666666664E-2</v>
      </c>
      <c r="H6" s="61">
        <v>9916899497</v>
      </c>
      <c r="I6" s="42">
        <v>9986206416</v>
      </c>
      <c r="J6" s="48"/>
      <c r="K6" s="73">
        <v>9743278355</v>
      </c>
      <c r="L6" s="73">
        <v>9916899497</v>
      </c>
      <c r="M6" s="12"/>
      <c r="N6" s="12"/>
      <c r="O6" s="12"/>
      <c r="P6" s="12"/>
      <c r="Q6" s="46"/>
    </row>
    <row r="7" spans="1:17" ht="28.8">
      <c r="A7" s="8" t="s">
        <v>28</v>
      </c>
      <c r="B7" s="37" t="s">
        <v>19</v>
      </c>
      <c r="C7" s="38" t="s">
        <v>29</v>
      </c>
      <c r="D7" s="8" t="s">
        <v>25</v>
      </c>
      <c r="E7" s="9"/>
      <c r="F7" s="10"/>
      <c r="G7" s="14"/>
      <c r="H7" s="61">
        <v>9620575949</v>
      </c>
      <c r="I7" s="42">
        <v>9986206416</v>
      </c>
      <c r="J7" s="7"/>
      <c r="M7" s="12"/>
      <c r="N7" s="12"/>
      <c r="O7" s="12"/>
      <c r="P7" s="12"/>
      <c r="Q7" s="51"/>
    </row>
    <row r="8" spans="1:17" ht="28.8">
      <c r="A8" s="8" t="s">
        <v>30</v>
      </c>
      <c r="B8" s="37" t="s">
        <v>19</v>
      </c>
      <c r="C8" s="69" t="s">
        <v>31</v>
      </c>
      <c r="D8" s="11" t="s">
        <v>21</v>
      </c>
      <c r="E8" s="9">
        <v>46196</v>
      </c>
      <c r="F8" s="10">
        <v>0.73750000000000004</v>
      </c>
      <c r="G8" s="40">
        <v>4.1666666666666664E-2</v>
      </c>
      <c r="H8" s="61">
        <v>9916899497</v>
      </c>
      <c r="I8" s="42">
        <v>9986206416</v>
      </c>
      <c r="J8" s="48"/>
      <c r="K8" s="73">
        <v>9916899497</v>
      </c>
      <c r="L8" s="73">
        <v>8018886621</v>
      </c>
      <c r="M8" s="12"/>
      <c r="N8" s="12"/>
      <c r="O8" s="12"/>
      <c r="P8" s="12"/>
      <c r="Q8" s="46"/>
    </row>
    <row r="9" spans="1:17" ht="28.8">
      <c r="A9" s="8" t="s">
        <v>32</v>
      </c>
      <c r="B9" s="37" t="s">
        <v>19</v>
      </c>
      <c r="C9" s="38" t="s">
        <v>33</v>
      </c>
      <c r="D9" s="8" t="s">
        <v>25</v>
      </c>
      <c r="E9" s="9"/>
      <c r="F9" s="10"/>
      <c r="G9" s="14"/>
      <c r="H9" s="61">
        <v>9620575949</v>
      </c>
      <c r="I9" s="42">
        <v>9986206416</v>
      </c>
      <c r="J9" s="7"/>
      <c r="M9" s="12"/>
      <c r="N9" s="12"/>
      <c r="O9" s="12"/>
      <c r="P9" s="12"/>
      <c r="Q9" s="51"/>
    </row>
    <row r="10" spans="1:17" ht="28.8">
      <c r="A10" s="8" t="s">
        <v>34</v>
      </c>
      <c r="B10" s="37" t="s">
        <v>19</v>
      </c>
      <c r="C10" s="69" t="s">
        <v>35</v>
      </c>
      <c r="D10" s="11" t="s">
        <v>21</v>
      </c>
      <c r="E10" s="9">
        <v>46196</v>
      </c>
      <c r="F10" s="10">
        <v>0.73888888888888893</v>
      </c>
      <c r="G10" s="40">
        <v>4.1666666666666664E-2</v>
      </c>
      <c r="H10" s="61">
        <v>9916899497</v>
      </c>
      <c r="I10" s="42">
        <v>9986206416</v>
      </c>
      <c r="J10" s="48"/>
      <c r="K10" s="73">
        <v>8018886621</v>
      </c>
      <c r="L10" s="73">
        <v>9916899497</v>
      </c>
      <c r="M10" s="7"/>
      <c r="N10" s="7"/>
      <c r="O10" s="12"/>
      <c r="P10" s="12"/>
      <c r="Q10" s="46"/>
    </row>
    <row r="11" spans="1:17" ht="28.8">
      <c r="A11" s="8" t="s">
        <v>36</v>
      </c>
      <c r="B11" s="37" t="s">
        <v>19</v>
      </c>
      <c r="C11" s="38" t="s">
        <v>37</v>
      </c>
      <c r="D11" s="8" t="s">
        <v>25</v>
      </c>
      <c r="E11" s="6"/>
      <c r="F11" s="10"/>
      <c r="G11" s="6"/>
      <c r="H11" s="61">
        <v>9620575949</v>
      </c>
      <c r="I11" s="42">
        <v>9986206416</v>
      </c>
      <c r="J11" s="6"/>
      <c r="M11" s="7"/>
      <c r="N11" s="7"/>
      <c r="O11" s="12"/>
      <c r="P11" s="12"/>
      <c r="Q11" s="51"/>
    </row>
    <row r="12" spans="1:17" s="64" customFormat="1" ht="14.4">
      <c r="A12" s="8" t="s">
        <v>38</v>
      </c>
      <c r="B12" s="11" t="s">
        <v>19</v>
      </c>
      <c r="C12" s="70" t="s">
        <v>39</v>
      </c>
      <c r="D12" s="11" t="s">
        <v>21</v>
      </c>
      <c r="E12" s="71">
        <v>46196</v>
      </c>
      <c r="F12" s="10">
        <v>0.73958333333333337</v>
      </c>
      <c r="G12" s="40"/>
      <c r="H12" s="61">
        <v>9916899497</v>
      </c>
      <c r="I12" s="42">
        <v>9986206416</v>
      </c>
      <c r="J12" s="49"/>
      <c r="K12" s="73">
        <v>9916899497</v>
      </c>
      <c r="L12" s="73">
        <v>8018886621</v>
      </c>
      <c r="M12" s="62"/>
      <c r="N12" s="8"/>
      <c r="O12" s="63"/>
      <c r="P12" s="63"/>
      <c r="Q12" s="46"/>
    </row>
    <row r="13" spans="1:17" s="64" customFormat="1" ht="14.4">
      <c r="A13" s="8" t="s">
        <v>40</v>
      </c>
      <c r="B13" s="65" t="s">
        <v>19</v>
      </c>
      <c r="C13" s="72" t="s">
        <v>41</v>
      </c>
      <c r="D13" s="11" t="s">
        <v>21</v>
      </c>
      <c r="E13" s="71">
        <v>46196</v>
      </c>
      <c r="F13" s="10">
        <v>0.74027777777777781</v>
      </c>
      <c r="G13" s="40"/>
      <c r="H13" s="61">
        <v>9916899497</v>
      </c>
      <c r="I13" s="42">
        <v>9986206416</v>
      </c>
      <c r="J13" s="49"/>
      <c r="K13" s="73">
        <v>8018886621</v>
      </c>
      <c r="L13" s="73">
        <v>9916899497</v>
      </c>
      <c r="M13" s="62"/>
      <c r="N13" s="63"/>
      <c r="O13" s="63"/>
      <c r="P13" s="63"/>
      <c r="Q13" s="46"/>
    </row>
    <row r="14" spans="1:17" s="64" customFormat="1" ht="14.4">
      <c r="A14" s="8" t="s">
        <v>43</v>
      </c>
      <c r="B14" s="11" t="s">
        <v>19</v>
      </c>
      <c r="C14" s="70" t="s">
        <v>44</v>
      </c>
      <c r="D14" s="11" t="s">
        <v>21</v>
      </c>
      <c r="E14" s="71">
        <v>46196</v>
      </c>
      <c r="F14" s="10">
        <v>0.74236111111111114</v>
      </c>
      <c r="G14" s="40"/>
      <c r="H14" s="61">
        <v>9916899497</v>
      </c>
      <c r="I14" s="42">
        <v>9986206416</v>
      </c>
      <c r="J14" s="66"/>
      <c r="K14" s="73">
        <v>9916899497</v>
      </c>
      <c r="L14" s="73">
        <v>9743278355</v>
      </c>
      <c r="M14" s="62"/>
      <c r="N14" s="8"/>
      <c r="O14" s="63"/>
      <c r="P14" s="63"/>
      <c r="Q14" s="46"/>
    </row>
    <row r="15" spans="1:17" s="64" customFormat="1" ht="14.4">
      <c r="A15" s="8" t="s">
        <v>45</v>
      </c>
      <c r="B15" s="65" t="s">
        <v>19</v>
      </c>
      <c r="C15" s="72" t="s">
        <v>46</v>
      </c>
      <c r="D15" s="11" t="s">
        <v>21</v>
      </c>
      <c r="E15" s="71">
        <v>46196</v>
      </c>
      <c r="F15" s="10">
        <v>0.7416666666666667</v>
      </c>
      <c r="G15" s="40"/>
      <c r="H15" s="61">
        <v>9916899497</v>
      </c>
      <c r="I15" s="42">
        <v>9986206416</v>
      </c>
      <c r="J15" s="66"/>
      <c r="K15" s="73">
        <v>9743278355</v>
      </c>
      <c r="L15" s="73">
        <v>9916899497</v>
      </c>
      <c r="M15" s="62"/>
      <c r="N15" s="63"/>
      <c r="O15" s="63"/>
      <c r="P15" s="63"/>
      <c r="Q15" s="46"/>
    </row>
    <row r="16" spans="1:17" ht="14.4">
      <c r="A16" s="8" t="s">
        <v>47</v>
      </c>
      <c r="B16" s="12" t="s">
        <v>19</v>
      </c>
      <c r="C16" s="24" t="s">
        <v>48</v>
      </c>
      <c r="D16" s="11" t="s">
        <v>21</v>
      </c>
      <c r="E16" s="71">
        <v>46197</v>
      </c>
      <c r="F16" s="10">
        <v>0.44236111111111109</v>
      </c>
      <c r="G16" s="40">
        <v>4.1666666666666664E-2</v>
      </c>
      <c r="H16" s="61">
        <v>9916899497</v>
      </c>
      <c r="I16" s="42">
        <v>9986206416</v>
      </c>
      <c r="J16" s="50"/>
      <c r="K16" s="73">
        <v>9916899497</v>
      </c>
      <c r="L16" s="73">
        <v>9743278355</v>
      </c>
      <c r="M16" s="46">
        <v>8018886621</v>
      </c>
      <c r="N16" s="8"/>
      <c r="O16" s="12"/>
      <c r="P16" s="12"/>
      <c r="Q16" s="46"/>
    </row>
    <row r="17" spans="1:19" ht="14.4">
      <c r="A17" s="8" t="s">
        <v>49</v>
      </c>
      <c r="B17" s="12" t="s">
        <v>19</v>
      </c>
      <c r="C17" s="24" t="s">
        <v>50</v>
      </c>
      <c r="D17" s="11" t="s">
        <v>21</v>
      </c>
      <c r="E17" s="71">
        <v>46197</v>
      </c>
      <c r="F17" s="10">
        <v>0.44374999999999998</v>
      </c>
      <c r="G17" s="40">
        <v>4.1666666666666664E-2</v>
      </c>
      <c r="H17" s="61">
        <v>9916899497</v>
      </c>
      <c r="I17" s="42">
        <v>9986206416</v>
      </c>
      <c r="J17" s="48"/>
      <c r="K17" s="73">
        <v>9743278355</v>
      </c>
      <c r="L17" s="73">
        <v>9916899497</v>
      </c>
      <c r="M17" s="46">
        <v>8018886621</v>
      </c>
      <c r="N17" s="8"/>
      <c r="O17" s="12"/>
      <c r="P17" s="12"/>
      <c r="Q17" s="46"/>
    </row>
    <row r="18" spans="1:19" ht="14.4">
      <c r="A18" s="8" t="s">
        <v>51</v>
      </c>
      <c r="B18" s="13" t="s">
        <v>19</v>
      </c>
      <c r="C18" s="24" t="s">
        <v>52</v>
      </c>
      <c r="D18" s="11" t="s">
        <v>21</v>
      </c>
      <c r="E18" s="71">
        <v>46197</v>
      </c>
      <c r="F18" s="10">
        <v>0.45555555555555555</v>
      </c>
      <c r="G18" s="40">
        <v>4.1666666666666664E-2</v>
      </c>
      <c r="H18" s="61">
        <v>9916899497</v>
      </c>
      <c r="I18" s="42">
        <v>9986206416</v>
      </c>
      <c r="J18" s="8"/>
      <c r="K18" s="73">
        <v>9743278355</v>
      </c>
      <c r="L18" s="73">
        <v>9916899497</v>
      </c>
      <c r="M18" s="46">
        <v>8018886621</v>
      </c>
      <c r="N18" s="8"/>
      <c r="O18" s="12"/>
      <c r="P18" s="12"/>
      <c r="Q18" s="46"/>
    </row>
    <row r="19" spans="1:19" ht="14.4">
      <c r="A19" s="8" t="s">
        <v>53</v>
      </c>
      <c r="B19" s="13" t="s">
        <v>19</v>
      </c>
      <c r="C19" s="26" t="s">
        <v>54</v>
      </c>
      <c r="D19" s="11" t="s">
        <v>21</v>
      </c>
      <c r="E19" s="71">
        <v>46197</v>
      </c>
      <c r="F19" s="10">
        <v>0.45416666666666666</v>
      </c>
      <c r="G19" s="40">
        <v>4.1666666666666664E-2</v>
      </c>
      <c r="H19" s="61">
        <v>9916899497</v>
      </c>
      <c r="I19" s="42">
        <v>9986206416</v>
      </c>
      <c r="J19" s="7"/>
      <c r="K19" s="73">
        <v>9743278355</v>
      </c>
      <c r="L19" s="73">
        <v>9916899497</v>
      </c>
      <c r="M19" s="46">
        <v>8018886621</v>
      </c>
      <c r="N19" s="8"/>
      <c r="O19" s="12"/>
      <c r="P19" s="12"/>
      <c r="Q19" s="46"/>
    </row>
    <row r="20" spans="1:19" ht="14.4">
      <c r="A20" s="8" t="s">
        <v>55</v>
      </c>
      <c r="B20" s="13" t="s">
        <v>19</v>
      </c>
      <c r="C20" s="26" t="s">
        <v>56</v>
      </c>
      <c r="D20" s="11" t="s">
        <v>21</v>
      </c>
      <c r="E20" s="71">
        <v>46197</v>
      </c>
      <c r="F20" s="10">
        <v>0.45902777777777776</v>
      </c>
      <c r="G20" s="40">
        <v>4.1666666666666664E-2</v>
      </c>
      <c r="H20" s="61">
        <v>9916899497</v>
      </c>
      <c r="I20" s="42">
        <v>9986206416</v>
      </c>
      <c r="J20" s="8"/>
      <c r="K20" s="73">
        <v>9743278355</v>
      </c>
      <c r="L20" s="73">
        <v>9916899497</v>
      </c>
      <c r="M20" s="46">
        <v>8018886621</v>
      </c>
      <c r="N20" s="8"/>
      <c r="O20" s="12"/>
      <c r="P20" s="12"/>
      <c r="Q20" s="46"/>
    </row>
    <row r="21" spans="1:19" ht="14.4">
      <c r="A21" s="8" t="s">
        <v>57</v>
      </c>
      <c r="B21" s="13" t="s">
        <v>19</v>
      </c>
      <c r="C21" s="26" t="s">
        <v>58</v>
      </c>
      <c r="D21" s="11" t="s">
        <v>21</v>
      </c>
      <c r="E21" s="71">
        <v>46197</v>
      </c>
      <c r="F21" s="10">
        <v>0.45208333333333334</v>
      </c>
      <c r="G21" s="40">
        <v>4.1666666666666664E-2</v>
      </c>
      <c r="H21" s="61">
        <v>9916899497</v>
      </c>
      <c r="I21" s="42">
        <v>9986206416</v>
      </c>
      <c r="J21" s="7"/>
      <c r="K21" s="73">
        <v>9743278355</v>
      </c>
      <c r="L21" s="73">
        <v>9916899497</v>
      </c>
      <c r="M21" s="46">
        <v>8018886621</v>
      </c>
      <c r="N21" s="8"/>
      <c r="O21" s="12"/>
      <c r="P21" s="12"/>
      <c r="Q21" s="46"/>
    </row>
    <row r="22" spans="1:19" ht="14.4">
      <c r="A22" s="8" t="s">
        <v>59</v>
      </c>
      <c r="B22" s="13" t="s">
        <v>19</v>
      </c>
      <c r="C22" s="26" t="s">
        <v>60</v>
      </c>
      <c r="D22" s="11" t="s">
        <v>21</v>
      </c>
      <c r="E22" s="71">
        <v>46196</v>
      </c>
      <c r="F22" s="10">
        <v>0.75208333333333333</v>
      </c>
      <c r="G22" s="40">
        <v>4.1666666666666664E-2</v>
      </c>
      <c r="H22" s="61">
        <v>9916899497</v>
      </c>
      <c r="I22" s="42">
        <v>9986206416</v>
      </c>
      <c r="J22" s="43"/>
      <c r="K22" s="73">
        <v>9916899497</v>
      </c>
      <c r="L22" s="73">
        <v>9743278355</v>
      </c>
      <c r="M22" s="13"/>
      <c r="N22" s="13"/>
      <c r="O22" s="12"/>
      <c r="P22" s="12"/>
      <c r="Q22" s="46"/>
    </row>
    <row r="23" spans="1:19" ht="14.4">
      <c r="A23" s="8" t="s">
        <v>61</v>
      </c>
      <c r="B23" s="13" t="s">
        <v>19</v>
      </c>
      <c r="C23" s="27" t="s">
        <v>62</v>
      </c>
      <c r="D23" s="11" t="s">
        <v>21</v>
      </c>
      <c r="E23" s="71">
        <v>46196</v>
      </c>
      <c r="F23" s="10">
        <v>0.75277777777777777</v>
      </c>
      <c r="G23" s="40">
        <v>4.1666666666666664E-2</v>
      </c>
      <c r="H23" s="61">
        <v>9916899497</v>
      </c>
      <c r="I23" s="42">
        <v>9986206416</v>
      </c>
      <c r="J23" s="43"/>
      <c r="K23" s="73">
        <v>9916899497</v>
      </c>
      <c r="L23" s="73">
        <v>9743278355</v>
      </c>
      <c r="M23" s="13"/>
      <c r="N23" s="13"/>
      <c r="O23" s="12"/>
      <c r="P23" s="12"/>
      <c r="Q23" s="46"/>
    </row>
    <row r="24" spans="1:19" ht="14.4">
      <c r="A24" s="8" t="s">
        <v>63</v>
      </c>
      <c r="B24" s="13" t="s">
        <v>19</v>
      </c>
      <c r="C24" s="27" t="s">
        <v>64</v>
      </c>
      <c r="D24" s="11" t="s">
        <v>21</v>
      </c>
      <c r="E24" s="71">
        <v>46196</v>
      </c>
      <c r="F24" s="10">
        <v>0.77847222222222223</v>
      </c>
      <c r="G24" s="40">
        <v>4.1666666666666664E-2</v>
      </c>
      <c r="H24" s="61">
        <v>9916899497</v>
      </c>
      <c r="I24" s="42">
        <v>9986206416</v>
      </c>
      <c r="J24" s="43"/>
      <c r="K24" s="73">
        <v>9916899497</v>
      </c>
      <c r="L24" s="73" t="s">
        <v>65</v>
      </c>
      <c r="M24" s="13"/>
      <c r="N24" s="13"/>
      <c r="O24" s="12"/>
      <c r="P24" s="12"/>
      <c r="Q24" s="46"/>
    </row>
    <row r="25" spans="1:19" ht="14.4">
      <c r="A25" s="8" t="s">
        <v>66</v>
      </c>
      <c r="B25" s="13" t="s">
        <v>19</v>
      </c>
      <c r="C25" s="26" t="s">
        <v>67</v>
      </c>
      <c r="D25" s="11" t="s">
        <v>21</v>
      </c>
      <c r="E25" s="71">
        <v>46196</v>
      </c>
      <c r="F25" s="10">
        <v>0.75416666666666665</v>
      </c>
      <c r="G25" s="40">
        <v>4.1666666666666664E-2</v>
      </c>
      <c r="H25" s="61">
        <v>9916899497</v>
      </c>
      <c r="I25" s="42">
        <v>9986206416</v>
      </c>
      <c r="J25" s="43"/>
      <c r="K25" s="73">
        <v>9916899497</v>
      </c>
      <c r="L25" s="73">
        <v>9743278355</v>
      </c>
      <c r="M25" s="13"/>
      <c r="N25" s="13"/>
      <c r="O25" s="12"/>
      <c r="P25" s="12"/>
      <c r="Q25" s="46"/>
      <c r="R25">
        <v>1234567</v>
      </c>
      <c r="S25">
        <v>7654321</v>
      </c>
    </row>
    <row r="26" spans="1:19" ht="14.4">
      <c r="A26" s="8" t="s">
        <v>68</v>
      </c>
      <c r="B26" s="13" t="s">
        <v>19</v>
      </c>
      <c r="C26" s="27" t="s">
        <v>69</v>
      </c>
      <c r="D26" s="11" t="s">
        <v>21</v>
      </c>
      <c r="E26" s="71">
        <v>46196</v>
      </c>
      <c r="F26" s="10">
        <v>0.7729166666666667</v>
      </c>
      <c r="G26" s="40">
        <v>4.1666666666666664E-2</v>
      </c>
      <c r="H26" s="61">
        <v>9916899497</v>
      </c>
      <c r="I26" s="42">
        <v>9986206416</v>
      </c>
      <c r="J26" s="52">
        <v>8722830612</v>
      </c>
      <c r="K26" s="73">
        <v>9916899497</v>
      </c>
      <c r="L26" s="73">
        <v>9743278355</v>
      </c>
      <c r="M26" s="13"/>
      <c r="N26" s="13"/>
      <c r="O26" s="12"/>
      <c r="P26" s="12"/>
      <c r="Q26" s="46"/>
    </row>
    <row r="27" spans="1:19" ht="14.4">
      <c r="A27" s="8" t="s">
        <v>70</v>
      </c>
      <c r="B27" s="13" t="s">
        <v>19</v>
      </c>
      <c r="C27" s="27" t="s">
        <v>71</v>
      </c>
      <c r="D27" s="11" t="s">
        <v>21</v>
      </c>
      <c r="E27" s="71">
        <v>46196</v>
      </c>
      <c r="F27" s="10">
        <v>0.77430555555555558</v>
      </c>
      <c r="G27" s="40">
        <v>4.1666666666666664E-2</v>
      </c>
      <c r="H27" s="61">
        <v>9916899497</v>
      </c>
      <c r="I27" s="42">
        <v>9986206416</v>
      </c>
      <c r="J27" s="52">
        <v>8722830612</v>
      </c>
      <c r="K27" s="73">
        <v>9743278355</v>
      </c>
      <c r="L27" s="73">
        <v>9916899497</v>
      </c>
      <c r="M27" s="13"/>
      <c r="N27" s="13"/>
      <c r="O27" s="12"/>
      <c r="P27" s="12"/>
      <c r="Q27" s="46"/>
    </row>
    <row r="28" spans="1:19" ht="14.4">
      <c r="A28" s="8" t="s">
        <v>72</v>
      </c>
      <c r="B28" s="13" t="s">
        <v>19</v>
      </c>
      <c r="C28" s="27" t="s">
        <v>73</v>
      </c>
      <c r="D28" s="11" t="s">
        <v>21</v>
      </c>
      <c r="E28" s="71">
        <v>46196</v>
      </c>
      <c r="F28" s="10">
        <v>0.77500000000000002</v>
      </c>
      <c r="G28" s="40">
        <v>4.1666666666666664E-2</v>
      </c>
      <c r="H28" s="61">
        <v>9916899497</v>
      </c>
      <c r="I28" s="42">
        <v>9986206416</v>
      </c>
      <c r="J28" s="52">
        <v>8722830612</v>
      </c>
      <c r="K28" s="73">
        <v>9916899497</v>
      </c>
      <c r="L28" s="73">
        <v>9743278355</v>
      </c>
      <c r="M28" s="13"/>
      <c r="N28" s="13"/>
      <c r="O28" s="12"/>
      <c r="P28" s="12"/>
      <c r="Q28" s="46"/>
    </row>
    <row r="29" spans="1:19" ht="14.4">
      <c r="A29" s="8" t="s">
        <v>74</v>
      </c>
      <c r="B29" s="13" t="s">
        <v>19</v>
      </c>
      <c r="C29" s="27" t="s">
        <v>75</v>
      </c>
      <c r="D29" s="11" t="s">
        <v>21</v>
      </c>
      <c r="E29" s="71">
        <v>46196</v>
      </c>
      <c r="F29" s="10">
        <v>0.77569444444444446</v>
      </c>
      <c r="G29" s="40">
        <v>4.1666666666666664E-2</v>
      </c>
      <c r="H29" s="61">
        <v>9916899497</v>
      </c>
      <c r="I29" s="42">
        <v>9986206416</v>
      </c>
      <c r="J29" s="52">
        <v>8722830612</v>
      </c>
      <c r="K29" s="73">
        <v>9743278355</v>
      </c>
      <c r="L29" s="73">
        <v>9916899497</v>
      </c>
      <c r="M29" s="13"/>
      <c r="N29" s="13"/>
      <c r="O29" s="12"/>
      <c r="P29" s="12"/>
      <c r="Q29" s="46"/>
    </row>
    <row r="30" spans="1:19" ht="14.4">
      <c r="A30" s="8" t="s">
        <v>76</v>
      </c>
      <c r="B30" s="13" t="s">
        <v>19</v>
      </c>
      <c r="C30" s="27" t="s">
        <v>77</v>
      </c>
      <c r="D30" s="11" t="s">
        <v>21</v>
      </c>
      <c r="E30" s="71">
        <v>46196</v>
      </c>
      <c r="F30" s="10">
        <v>0.77708333333333335</v>
      </c>
      <c r="G30" s="40">
        <v>4.1666666666666664E-2</v>
      </c>
      <c r="H30" s="61">
        <v>9916899497</v>
      </c>
      <c r="I30" s="42">
        <v>9986206416</v>
      </c>
      <c r="J30" s="52">
        <v>8722830612</v>
      </c>
      <c r="K30" s="73">
        <v>9916899497</v>
      </c>
      <c r="L30" s="73">
        <v>9743278355</v>
      </c>
      <c r="M30" s="13"/>
      <c r="N30" s="13"/>
      <c r="O30" s="12"/>
      <c r="P30" s="12"/>
      <c r="Q30" s="46"/>
    </row>
    <row r="31" spans="1:19" ht="14.4">
      <c r="A31" s="8" t="s">
        <v>78</v>
      </c>
      <c r="B31" s="13" t="s">
        <v>19</v>
      </c>
      <c r="C31" s="27" t="s">
        <v>79</v>
      </c>
      <c r="D31" s="11" t="s">
        <v>21</v>
      </c>
      <c r="E31" s="71">
        <v>46196</v>
      </c>
      <c r="F31" s="10">
        <v>0.77777777777777779</v>
      </c>
      <c r="G31" s="40">
        <v>4.1666666666666664E-2</v>
      </c>
      <c r="H31" s="61">
        <v>9916899497</v>
      </c>
      <c r="I31" s="42">
        <v>9986206416</v>
      </c>
      <c r="J31" s="52">
        <v>8722830612</v>
      </c>
      <c r="K31" s="73">
        <v>9916899497</v>
      </c>
      <c r="L31" s="73">
        <v>9743278355</v>
      </c>
      <c r="M31" s="13"/>
      <c r="N31" s="13"/>
      <c r="O31" s="12"/>
      <c r="P31" s="12"/>
      <c r="Q31" s="46"/>
    </row>
    <row r="32" spans="1:19" ht="14.4">
      <c r="A32" s="16" t="s">
        <v>80</v>
      </c>
      <c r="B32" s="16" t="s">
        <v>81</v>
      </c>
      <c r="C32" s="28" t="s">
        <v>82</v>
      </c>
      <c r="D32" s="15" t="s">
        <v>21</v>
      </c>
      <c r="E32" s="1">
        <v>46196</v>
      </c>
      <c r="F32" s="2">
        <v>0.72499999999999998</v>
      </c>
      <c r="G32" s="53">
        <v>4.1666666666666664E-2</v>
      </c>
      <c r="H32" s="54">
        <v>404446911250190</v>
      </c>
      <c r="I32" s="15">
        <v>9986206416</v>
      </c>
      <c r="J32" s="55"/>
      <c r="K32" s="76">
        <v>8722385392</v>
      </c>
      <c r="L32" s="106">
        <v>9743278355</v>
      </c>
      <c r="M32" s="17"/>
      <c r="N32" s="17"/>
      <c r="O32" s="17"/>
      <c r="P32" s="17"/>
      <c r="Q32" s="56"/>
    </row>
    <row r="33" spans="1:17" ht="14.4">
      <c r="A33" s="16" t="s">
        <v>83</v>
      </c>
      <c r="B33" s="16" t="s">
        <v>81</v>
      </c>
      <c r="C33" s="28" t="s">
        <v>84</v>
      </c>
      <c r="D33" s="15" t="s">
        <v>21</v>
      </c>
      <c r="E33" s="1">
        <v>46196</v>
      </c>
      <c r="F33" s="2">
        <v>0.72638888888888886</v>
      </c>
      <c r="G33" s="53">
        <v>4.1666666666666664E-2</v>
      </c>
      <c r="H33" s="54">
        <v>404446911250190</v>
      </c>
      <c r="I33" s="15">
        <v>9986206416</v>
      </c>
      <c r="J33" s="55"/>
      <c r="K33" s="106">
        <v>9743278355</v>
      </c>
      <c r="L33" s="76">
        <v>8722385392</v>
      </c>
      <c r="M33" s="17"/>
      <c r="N33" s="17"/>
      <c r="O33" s="17"/>
      <c r="P33" s="17"/>
      <c r="Q33" s="56"/>
    </row>
    <row r="34" spans="1:17" ht="14.4">
      <c r="A34" s="16" t="s">
        <v>85</v>
      </c>
      <c r="B34" s="16" t="s">
        <v>81</v>
      </c>
      <c r="C34" s="28" t="s">
        <v>86</v>
      </c>
      <c r="D34" s="15" t="s">
        <v>21</v>
      </c>
      <c r="E34" s="1">
        <v>46196</v>
      </c>
      <c r="F34" s="2">
        <v>0.72777777777777775</v>
      </c>
      <c r="G34" s="53">
        <v>4.1666666666666664E-2</v>
      </c>
      <c r="H34" s="54">
        <v>404446911250190</v>
      </c>
      <c r="I34" s="15">
        <v>9986206416</v>
      </c>
      <c r="J34" s="55"/>
      <c r="K34" s="76">
        <v>8722385392</v>
      </c>
      <c r="L34" s="77">
        <v>8018886621</v>
      </c>
      <c r="M34" s="17"/>
      <c r="N34" s="17"/>
      <c r="O34" s="17"/>
      <c r="P34" s="17"/>
      <c r="Q34" s="56"/>
    </row>
    <row r="35" spans="1:17" ht="14.4">
      <c r="A35" s="16" t="s">
        <v>87</v>
      </c>
      <c r="B35" s="16" t="s">
        <v>81</v>
      </c>
      <c r="C35" s="28" t="s">
        <v>88</v>
      </c>
      <c r="D35" s="15" t="s">
        <v>21</v>
      </c>
      <c r="E35" s="1">
        <v>46196</v>
      </c>
      <c r="F35" s="2">
        <v>0.72847222222222219</v>
      </c>
      <c r="G35" s="53">
        <v>4.1666666666666664E-2</v>
      </c>
      <c r="H35" s="54">
        <v>404446911250190</v>
      </c>
      <c r="I35" s="15">
        <v>9986206416</v>
      </c>
      <c r="J35" s="55"/>
      <c r="K35" s="77">
        <v>8018886621</v>
      </c>
      <c r="L35" s="76">
        <v>8722385392</v>
      </c>
      <c r="M35" s="17"/>
      <c r="N35" s="17"/>
      <c r="O35" s="17"/>
      <c r="P35" s="17"/>
      <c r="Q35" s="56"/>
    </row>
    <row r="36" spans="1:17" ht="14.4">
      <c r="A36" s="18" t="s">
        <v>89</v>
      </c>
      <c r="B36" s="18" t="s">
        <v>90</v>
      </c>
      <c r="C36" s="29" t="s">
        <v>82</v>
      </c>
      <c r="D36" s="19"/>
      <c r="E36" s="20"/>
      <c r="F36" s="21"/>
      <c r="G36" s="57"/>
      <c r="H36" s="58"/>
      <c r="I36" s="59"/>
      <c r="J36" s="22"/>
      <c r="K36" s="78"/>
      <c r="L36" s="78"/>
      <c r="M36" s="23"/>
      <c r="N36" s="23"/>
      <c r="O36" s="23"/>
      <c r="P36" s="23"/>
      <c r="Q36" s="60"/>
    </row>
    <row r="37" spans="1:17" ht="14.4">
      <c r="A37" s="18" t="s">
        <v>91</v>
      </c>
      <c r="B37" s="18" t="s">
        <v>90</v>
      </c>
      <c r="C37" s="29" t="s">
        <v>84</v>
      </c>
      <c r="D37" s="19"/>
      <c r="E37" s="20"/>
      <c r="F37" s="21"/>
      <c r="G37" s="57"/>
      <c r="H37" s="58"/>
      <c r="I37" s="59"/>
      <c r="J37" s="22"/>
      <c r="K37" s="78"/>
      <c r="L37" s="78"/>
      <c r="M37" s="23"/>
      <c r="N37" s="23"/>
      <c r="O37" s="23"/>
      <c r="P37" s="23"/>
      <c r="Q37" s="60"/>
    </row>
    <row r="38" spans="1:17" ht="14.4">
      <c r="A38" s="18" t="s">
        <v>92</v>
      </c>
      <c r="B38" s="18" t="s">
        <v>90</v>
      </c>
      <c r="C38" s="29" t="s">
        <v>86</v>
      </c>
      <c r="D38" s="19"/>
      <c r="E38" s="20"/>
      <c r="F38" s="21"/>
      <c r="G38" s="57"/>
      <c r="H38" s="58"/>
      <c r="I38" s="59"/>
      <c r="J38" s="22"/>
      <c r="K38" s="78"/>
      <c r="L38" s="78"/>
      <c r="M38" s="23"/>
      <c r="N38" s="23"/>
      <c r="O38" s="23"/>
      <c r="P38" s="23"/>
      <c r="Q38" s="60"/>
    </row>
    <row r="39" spans="1:17" s="92" customFormat="1" ht="15" thickBot="1">
      <c r="A39" s="79" t="s">
        <v>93</v>
      </c>
      <c r="B39" s="79" t="s">
        <v>90</v>
      </c>
      <c r="C39" s="80" t="s">
        <v>88</v>
      </c>
      <c r="D39" s="81"/>
      <c r="E39" s="82"/>
      <c r="F39" s="83"/>
      <c r="G39" s="84"/>
      <c r="H39" s="85"/>
      <c r="I39" s="86"/>
      <c r="J39" s="87"/>
      <c r="K39" s="88"/>
      <c r="L39" s="89"/>
      <c r="M39" s="86"/>
      <c r="N39" s="86"/>
      <c r="O39" s="86"/>
      <c r="P39" s="90"/>
      <c r="Q39" s="91"/>
    </row>
    <row r="40" spans="1:17" ht="14.4" thickBot="1">
      <c r="E40" s="68"/>
      <c r="F40" s="67"/>
      <c r="G40" s="67"/>
    </row>
    <row r="41" spans="1:17" ht="13.5" customHeight="1" thickBot="1">
      <c r="A41" s="147" t="s">
        <v>94</v>
      </c>
      <c r="B41" s="148"/>
      <c r="C41" s="148"/>
      <c r="D41" s="148"/>
      <c r="E41" s="148"/>
      <c r="F41" s="149"/>
    </row>
    <row r="43" spans="1:17" ht="14.4">
      <c r="A43" s="133" t="s">
        <v>0</v>
      </c>
      <c r="B43" s="133" t="s">
        <v>1</v>
      </c>
      <c r="C43" s="134" t="s">
        <v>2</v>
      </c>
      <c r="D43" s="133"/>
      <c r="E43" s="133"/>
      <c r="F43" s="133"/>
      <c r="G43" s="133"/>
      <c r="H43" s="133"/>
      <c r="I43" s="133"/>
      <c r="J43" s="133"/>
      <c r="K43" s="133"/>
      <c r="L43" s="133"/>
      <c r="M43" s="3"/>
    </row>
    <row r="44" spans="1:17" ht="14.1" customHeight="1">
      <c r="A44" s="133"/>
      <c r="B44" s="133"/>
      <c r="C44" s="134"/>
      <c r="D44" s="133" t="s">
        <v>3</v>
      </c>
      <c r="E44" s="4" t="s">
        <v>4</v>
      </c>
      <c r="F44" s="5" t="s">
        <v>4</v>
      </c>
      <c r="G44" s="135" t="s">
        <v>5</v>
      </c>
      <c r="H44" s="133" t="s">
        <v>6</v>
      </c>
      <c r="I44" s="133" t="s">
        <v>7</v>
      </c>
      <c r="J44" s="133" t="s">
        <v>8</v>
      </c>
      <c r="K44" s="134" t="s">
        <v>9</v>
      </c>
      <c r="L44" s="134" t="s">
        <v>10</v>
      </c>
      <c r="M44" s="135" t="s">
        <v>11</v>
      </c>
      <c r="N44" s="135" t="s">
        <v>12</v>
      </c>
      <c r="O44" s="132" t="s">
        <v>13</v>
      </c>
      <c r="P44" s="132" t="s">
        <v>14</v>
      </c>
    </row>
    <row r="45" spans="1:17" ht="27.6" customHeight="1">
      <c r="A45" s="133"/>
      <c r="B45" s="133"/>
      <c r="C45" s="134"/>
      <c r="D45" s="133"/>
      <c r="E45" s="4" t="s">
        <v>16</v>
      </c>
      <c r="F45" s="5" t="s">
        <v>17</v>
      </c>
      <c r="G45" s="135"/>
      <c r="H45" s="133"/>
      <c r="I45" s="133"/>
      <c r="J45" s="133"/>
      <c r="K45" s="134"/>
      <c r="L45" s="134"/>
      <c r="M45" s="135"/>
      <c r="N45" s="135"/>
      <c r="O45" s="132"/>
      <c r="P45" s="132"/>
    </row>
    <row r="46" spans="1:17" ht="14.4">
      <c r="A46" s="12" t="s">
        <v>18</v>
      </c>
      <c r="B46" s="12" t="s">
        <v>19</v>
      </c>
      <c r="C46" s="24" t="s">
        <v>82</v>
      </c>
      <c r="D46" s="8"/>
      <c r="E46" s="9"/>
      <c r="F46" s="10"/>
      <c r="G46" s="14"/>
      <c r="H46" s="61"/>
      <c r="I46" s="6"/>
      <c r="J46" s="7"/>
      <c r="K46" s="61"/>
      <c r="L46" s="41"/>
      <c r="M46" s="12"/>
      <c r="N46" s="12"/>
      <c r="O46" s="12"/>
      <c r="P46" s="12"/>
    </row>
    <row r="47" spans="1:17" ht="14.4">
      <c r="A47" s="12" t="s">
        <v>23</v>
      </c>
      <c r="B47" s="12" t="s">
        <v>19</v>
      </c>
      <c r="C47" s="24" t="s">
        <v>84</v>
      </c>
      <c r="D47" s="8"/>
      <c r="E47" s="9"/>
      <c r="F47" s="10"/>
      <c r="G47" s="14"/>
      <c r="H47" s="61"/>
      <c r="I47" s="6"/>
      <c r="J47" s="7"/>
      <c r="K47" s="41"/>
      <c r="L47" s="61"/>
      <c r="M47" s="12"/>
      <c r="N47" s="12"/>
      <c r="O47" s="12"/>
      <c r="P47" s="12"/>
    </row>
    <row r="48" spans="1:17" ht="14.4">
      <c r="A48" s="12" t="s">
        <v>26</v>
      </c>
      <c r="B48" s="12" t="s">
        <v>19</v>
      </c>
      <c r="C48" s="24" t="s">
        <v>86</v>
      </c>
      <c r="D48" s="8"/>
      <c r="E48" s="9"/>
      <c r="F48" s="10"/>
      <c r="G48" s="14"/>
      <c r="H48" s="61"/>
      <c r="I48" s="6"/>
      <c r="J48" s="7"/>
      <c r="K48" s="61"/>
      <c r="L48" s="8"/>
      <c r="M48" s="12"/>
      <c r="N48" s="12"/>
      <c r="O48" s="12"/>
      <c r="P48" s="12"/>
    </row>
    <row r="49" spans="1:16" ht="14.4">
      <c r="A49" s="6" t="s">
        <v>28</v>
      </c>
      <c r="B49" s="6" t="s">
        <v>81</v>
      </c>
      <c r="C49" s="25" t="s">
        <v>88</v>
      </c>
      <c r="D49" s="11"/>
      <c r="E49" s="9"/>
      <c r="F49" s="10"/>
      <c r="G49" s="14"/>
      <c r="H49" s="61"/>
      <c r="I49" s="6"/>
      <c r="J49" s="6"/>
      <c r="K49" s="8"/>
      <c r="L49" s="61"/>
      <c r="M49" s="7"/>
      <c r="N49" s="7"/>
      <c r="O49" s="12"/>
      <c r="P49" s="12"/>
    </row>
    <row r="53" spans="1:16" ht="14.4">
      <c r="A53" s="133" t="s">
        <v>0</v>
      </c>
      <c r="B53" s="133" t="s">
        <v>1</v>
      </c>
      <c r="C53" s="134" t="s">
        <v>2</v>
      </c>
      <c r="D53" s="133"/>
      <c r="E53" s="133"/>
      <c r="F53" s="133"/>
      <c r="G53" s="133"/>
      <c r="H53" s="133"/>
      <c r="I53" s="133"/>
      <c r="J53" s="133"/>
      <c r="K53" s="133"/>
      <c r="L53" s="133"/>
      <c r="M53" s="3"/>
    </row>
    <row r="54" spans="1:16" ht="14.4">
      <c r="A54" s="133"/>
      <c r="B54" s="133"/>
      <c r="C54" s="134"/>
      <c r="D54" s="133" t="s">
        <v>3</v>
      </c>
      <c r="E54" s="4" t="s">
        <v>4</v>
      </c>
      <c r="F54" s="5" t="s">
        <v>4</v>
      </c>
      <c r="G54" s="135" t="s">
        <v>5</v>
      </c>
      <c r="H54" s="133" t="s">
        <v>6</v>
      </c>
      <c r="I54" s="133" t="s">
        <v>7</v>
      </c>
      <c r="J54" s="133" t="s">
        <v>8</v>
      </c>
      <c r="K54" s="134" t="s">
        <v>9</v>
      </c>
      <c r="L54" s="134" t="s">
        <v>10</v>
      </c>
      <c r="M54" s="135" t="s">
        <v>11</v>
      </c>
      <c r="N54" s="135" t="s">
        <v>12</v>
      </c>
      <c r="O54" s="132" t="s">
        <v>13</v>
      </c>
      <c r="P54" s="132" t="s">
        <v>14</v>
      </c>
    </row>
    <row r="55" spans="1:16" ht="14.4">
      <c r="A55" s="133"/>
      <c r="B55" s="133"/>
      <c r="C55" s="134"/>
      <c r="D55" s="133"/>
      <c r="E55" s="4" t="s">
        <v>16</v>
      </c>
      <c r="F55" s="5" t="s">
        <v>17</v>
      </c>
      <c r="G55" s="135"/>
      <c r="H55" s="133"/>
      <c r="I55" s="133"/>
      <c r="J55" s="133"/>
      <c r="K55" s="134"/>
      <c r="L55" s="134"/>
      <c r="M55" s="135"/>
      <c r="N55" s="135"/>
      <c r="O55" s="132"/>
      <c r="P55" s="132"/>
    </row>
    <row r="56" spans="1:16" ht="14.4">
      <c r="A56" s="12" t="s">
        <v>18</v>
      </c>
      <c r="B56" s="12" t="s">
        <v>19</v>
      </c>
      <c r="C56" s="24" t="s">
        <v>82</v>
      </c>
      <c r="D56" s="8"/>
      <c r="E56" s="9"/>
      <c r="F56" s="10"/>
      <c r="G56" s="14"/>
      <c r="H56" s="61"/>
      <c r="I56" s="6"/>
      <c r="J56" s="7"/>
      <c r="K56" s="61"/>
      <c r="L56" s="41"/>
      <c r="M56" s="12"/>
      <c r="N56" s="12"/>
      <c r="O56" s="12"/>
      <c r="P56" s="12"/>
    </row>
    <row r="57" spans="1:16" ht="14.4">
      <c r="A57" s="12" t="s">
        <v>23</v>
      </c>
      <c r="B57" s="12" t="s">
        <v>19</v>
      </c>
      <c r="C57" s="24" t="s">
        <v>84</v>
      </c>
      <c r="D57" s="8"/>
      <c r="E57" s="9"/>
      <c r="F57" s="10"/>
      <c r="G57" s="14"/>
      <c r="H57" s="61"/>
      <c r="I57" s="6"/>
      <c r="J57" s="7"/>
      <c r="K57" s="41"/>
      <c r="L57" s="61"/>
      <c r="M57" s="12"/>
      <c r="N57" s="12"/>
      <c r="O57" s="12"/>
      <c r="P57" s="12"/>
    </row>
    <row r="58" spans="1:16" ht="14.4">
      <c r="A58" s="12" t="s">
        <v>26</v>
      </c>
      <c r="B58" s="12" t="s">
        <v>19</v>
      </c>
      <c r="C58" s="24" t="s">
        <v>86</v>
      </c>
      <c r="D58" s="8"/>
      <c r="E58" s="9"/>
      <c r="F58" s="10"/>
      <c r="G58" s="14"/>
      <c r="H58" s="61"/>
      <c r="I58" s="6"/>
      <c r="J58" s="7"/>
      <c r="K58" s="61"/>
      <c r="L58" s="8"/>
      <c r="M58" s="12"/>
      <c r="N58" s="12"/>
      <c r="O58" s="12"/>
      <c r="P58" s="12"/>
    </row>
    <row r="59" spans="1:16" ht="14.4">
      <c r="A59" s="6" t="s">
        <v>28</v>
      </c>
      <c r="B59" s="6" t="s">
        <v>81</v>
      </c>
      <c r="C59" s="25" t="s">
        <v>88</v>
      </c>
      <c r="D59" s="11"/>
      <c r="E59" s="9"/>
      <c r="F59" s="10"/>
      <c r="G59" s="14"/>
      <c r="H59" s="61"/>
      <c r="I59" s="6"/>
      <c r="J59" s="6"/>
      <c r="K59" s="8"/>
      <c r="L59" s="61"/>
      <c r="M59" s="7"/>
      <c r="N59" s="7"/>
      <c r="O59" s="12"/>
      <c r="P59" s="12"/>
    </row>
    <row r="60" spans="1:16" ht="14.1" customHeight="1"/>
    <row r="65" spans="2:7" ht="14.4" thickBot="1"/>
    <row r="66" spans="2:7" ht="15" thickBot="1">
      <c r="B66" s="34" t="s">
        <v>95</v>
      </c>
      <c r="C66" s="138" t="s">
        <v>96</v>
      </c>
      <c r="D66" s="139"/>
      <c r="E66" s="139"/>
      <c r="F66" s="35" t="s">
        <v>97</v>
      </c>
      <c r="G66" s="36"/>
    </row>
    <row r="67" spans="2:7" ht="15.6" customHeight="1">
      <c r="B67" s="31">
        <v>1</v>
      </c>
      <c r="C67" s="32" t="s">
        <v>98</v>
      </c>
      <c r="D67" s="32"/>
      <c r="E67" s="33"/>
      <c r="F67" s="141"/>
      <c r="G67" s="142"/>
    </row>
    <row r="68" spans="2:7" ht="14.4">
      <c r="B68" s="6">
        <v>2</v>
      </c>
      <c r="C68" s="136" t="s">
        <v>99</v>
      </c>
      <c r="D68" s="137"/>
      <c r="E68" s="137"/>
      <c r="F68" s="143"/>
      <c r="G68" s="144"/>
    </row>
    <row r="69" spans="2:7" ht="15" customHeight="1" thickBot="1">
      <c r="B69" s="6">
        <v>3</v>
      </c>
      <c r="C69" s="136" t="s">
        <v>100</v>
      </c>
      <c r="D69" s="137"/>
      <c r="E69" s="137"/>
      <c r="F69" s="145"/>
      <c r="G69" s="146"/>
    </row>
  </sheetData>
  <mergeCells count="53">
    <mergeCell ref="Q2:Q3"/>
    <mergeCell ref="A1:A3"/>
    <mergeCell ref="B1:B3"/>
    <mergeCell ref="C1:C3"/>
    <mergeCell ref="D1:L1"/>
    <mergeCell ref="D2:D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P44:P45"/>
    <mergeCell ref="A41:F41"/>
    <mergeCell ref="A43:A45"/>
    <mergeCell ref="B43:B45"/>
    <mergeCell ref="C43:C45"/>
    <mergeCell ref="D43:L43"/>
    <mergeCell ref="D44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A53:A55"/>
    <mergeCell ref="B53:B55"/>
    <mergeCell ref="C53:C55"/>
    <mergeCell ref="D53:L53"/>
    <mergeCell ref="D54:D55"/>
    <mergeCell ref="G54:G55"/>
    <mergeCell ref="H54:H55"/>
    <mergeCell ref="I54:I55"/>
    <mergeCell ref="J54:J55"/>
    <mergeCell ref="K54:K55"/>
    <mergeCell ref="L54:L55"/>
    <mergeCell ref="N54:N55"/>
    <mergeCell ref="O54:O55"/>
    <mergeCell ref="P54:P55"/>
    <mergeCell ref="F67:G67"/>
    <mergeCell ref="C66:E66"/>
    <mergeCell ref="C68:E68"/>
    <mergeCell ref="F68:G68"/>
    <mergeCell ref="C69:E69"/>
    <mergeCell ref="F69:G69"/>
    <mergeCell ref="M54:M55"/>
  </mergeCells>
  <conditionalFormatting sqref="O4 Q4 Q6 Q8 Q10 Q12:Q31">
    <cfRule type="expression" dxfId="1" priority="1" stopIfTrue="1">
      <formula>#REF!="P"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0A0E-B1BB-4A15-B88E-30765379F8F6}">
  <dimension ref="A1:G10"/>
  <sheetViews>
    <sheetView workbookViewId="0">
      <selection activeCell="C4" sqref="C4"/>
    </sheetView>
  </sheetViews>
  <sheetFormatPr defaultRowHeight="13.8"/>
  <cols>
    <col min="1" max="1" width="11.6640625" bestFit="1" customWidth="1"/>
    <col min="2" max="3" width="13.109375" style="39" customWidth="1"/>
    <col min="4" max="5" width="11.44140625" style="39" customWidth="1"/>
    <col min="6" max="6" width="9.109375" style="39" bestFit="1" customWidth="1"/>
    <col min="7" max="7" width="10.109375" style="39" bestFit="1" customWidth="1"/>
    <col min="8" max="8" width="9.109375" bestFit="1" customWidth="1"/>
    <col min="9" max="9" width="10.109375" bestFit="1" customWidth="1"/>
  </cols>
  <sheetData>
    <row r="1" spans="1:7">
      <c r="A1" s="74"/>
      <c r="B1" s="118" t="s">
        <v>101</v>
      </c>
      <c r="C1" s="118" t="s">
        <v>102</v>
      </c>
      <c r="D1" s="118" t="s">
        <v>103</v>
      </c>
      <c r="E1" s="118" t="s">
        <v>102</v>
      </c>
      <c r="F1" s="118" t="s">
        <v>104</v>
      </c>
      <c r="G1" s="118" t="s">
        <v>102</v>
      </c>
    </row>
    <row r="2" spans="1:7">
      <c r="A2" s="119" t="s">
        <v>19</v>
      </c>
      <c r="B2" s="51">
        <v>28</v>
      </c>
      <c r="C2" s="51">
        <v>26</v>
      </c>
      <c r="D2" s="51">
        <v>28</v>
      </c>
      <c r="E2" s="51"/>
      <c r="F2" s="169">
        <v>28</v>
      </c>
      <c r="G2" s="169">
        <v>28</v>
      </c>
    </row>
    <row r="3" spans="1:7">
      <c r="A3" s="119" t="s">
        <v>81</v>
      </c>
      <c r="B3" s="169">
        <v>4</v>
      </c>
      <c r="C3" s="169">
        <v>4</v>
      </c>
      <c r="D3" s="169">
        <v>4</v>
      </c>
      <c r="E3" s="169">
        <v>4</v>
      </c>
      <c r="F3" s="169">
        <v>4</v>
      </c>
      <c r="G3" s="169">
        <v>4</v>
      </c>
    </row>
    <row r="4" spans="1:7">
      <c r="A4" s="119" t="s">
        <v>90</v>
      </c>
      <c r="B4" s="51">
        <v>4</v>
      </c>
      <c r="C4" s="51"/>
      <c r="D4" s="51">
        <v>4</v>
      </c>
      <c r="E4" s="51"/>
      <c r="F4" s="51">
        <v>4</v>
      </c>
      <c r="G4" s="51"/>
    </row>
    <row r="5" spans="1:7">
      <c r="A5" s="119" t="s">
        <v>105</v>
      </c>
      <c r="B5" s="51">
        <f t="shared" ref="B5:G5" si="0">SUM(B2:B4)</f>
        <v>36</v>
      </c>
      <c r="C5" s="51">
        <f t="shared" si="0"/>
        <v>30</v>
      </c>
      <c r="D5" s="51">
        <f t="shared" si="0"/>
        <v>36</v>
      </c>
      <c r="E5" s="51">
        <f t="shared" si="0"/>
        <v>4</v>
      </c>
      <c r="F5" s="51">
        <f t="shared" si="0"/>
        <v>36</v>
      </c>
      <c r="G5" s="51">
        <f t="shared" si="0"/>
        <v>32</v>
      </c>
    </row>
    <row r="8" spans="1:7">
      <c r="A8" s="173" t="s">
        <v>105</v>
      </c>
      <c r="B8" s="174">
        <f>B5+D5+F5</f>
        <v>108</v>
      </c>
    </row>
    <row r="9" spans="1:7">
      <c r="A9" s="170" t="s">
        <v>102</v>
      </c>
      <c r="B9" s="169">
        <f>C5+E5+G5</f>
        <v>66</v>
      </c>
    </row>
    <row r="10" spans="1:7">
      <c r="A10" s="171" t="s">
        <v>106</v>
      </c>
      <c r="B10" s="172">
        <f>B8-B9</f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E773-4578-48B5-A99E-18C61E3E9520}">
  <dimension ref="A1:J23"/>
  <sheetViews>
    <sheetView tabSelected="1" workbookViewId="0">
      <selection activeCell="A15" sqref="A15:B16"/>
    </sheetView>
  </sheetViews>
  <sheetFormatPr defaultRowHeight="13.8"/>
  <cols>
    <col min="1" max="1" width="20.44140625" style="101" bestFit="1" customWidth="1"/>
    <col min="3" max="3" width="10.44140625" bestFit="1" customWidth="1"/>
    <col min="4" max="5" width="0" hidden="1" customWidth="1"/>
    <col min="6" max="6" width="27.33203125" hidden="1" customWidth="1"/>
    <col min="7" max="7" width="31.109375" customWidth="1"/>
    <col min="8" max="8" width="22.44140625" customWidth="1"/>
  </cols>
  <sheetData>
    <row r="1" spans="1:10" ht="14.4" thickBot="1">
      <c r="A1" s="100" t="s">
        <v>107</v>
      </c>
      <c r="B1" s="93" t="s">
        <v>108</v>
      </c>
      <c r="C1" s="94" t="s">
        <v>109</v>
      </c>
      <c r="D1" s="93" t="s">
        <v>110</v>
      </c>
      <c r="E1" s="93" t="s">
        <v>111</v>
      </c>
      <c r="F1" s="93" t="s">
        <v>112</v>
      </c>
      <c r="G1" s="95" t="s">
        <v>113</v>
      </c>
      <c r="H1" s="95" t="s">
        <v>114</v>
      </c>
    </row>
    <row r="2" spans="1:10">
      <c r="A2" s="152">
        <v>9916349635</v>
      </c>
      <c r="B2" s="154" t="s">
        <v>19</v>
      </c>
      <c r="C2" s="164" t="s">
        <v>115</v>
      </c>
      <c r="D2" s="166" t="s">
        <v>116</v>
      </c>
      <c r="E2" s="156" t="s">
        <v>117</v>
      </c>
      <c r="F2" s="154" t="s">
        <v>118</v>
      </c>
      <c r="G2" s="97" t="s">
        <v>119</v>
      </c>
      <c r="H2" s="150" t="s">
        <v>120</v>
      </c>
    </row>
    <row r="3" spans="1:10" ht="14.4" thickBot="1">
      <c r="A3" s="153"/>
      <c r="B3" s="155"/>
      <c r="C3" s="165"/>
      <c r="D3" s="167"/>
      <c r="E3" s="157"/>
      <c r="F3" s="155"/>
      <c r="G3" s="98" t="s">
        <v>121</v>
      </c>
      <c r="H3" s="161"/>
    </row>
    <row r="4" spans="1:10">
      <c r="A4" s="152">
        <v>404446911249920</v>
      </c>
      <c r="B4" s="154" t="s">
        <v>81</v>
      </c>
      <c r="C4" s="162" t="s">
        <v>122</v>
      </c>
      <c r="D4" s="156" t="s">
        <v>116</v>
      </c>
      <c r="E4" s="156" t="s">
        <v>117</v>
      </c>
      <c r="F4" s="154" t="s">
        <v>118</v>
      </c>
      <c r="G4" s="96" t="s">
        <v>119</v>
      </c>
      <c r="H4" s="163" t="s">
        <v>120</v>
      </c>
    </row>
    <row r="5" spans="1:10" ht="14.4" thickBot="1">
      <c r="A5" s="153"/>
      <c r="B5" s="155"/>
      <c r="C5" s="157"/>
      <c r="D5" s="157"/>
      <c r="E5" s="157"/>
      <c r="F5" s="155"/>
      <c r="G5" s="98" t="s">
        <v>121</v>
      </c>
      <c r="H5" s="151"/>
      <c r="I5" t="s">
        <v>104</v>
      </c>
      <c r="J5" s="105"/>
    </row>
    <row r="6" spans="1:10">
      <c r="A6" s="152">
        <v>9620575949</v>
      </c>
      <c r="B6" s="154" t="s">
        <v>19</v>
      </c>
      <c r="C6" s="156" t="s">
        <v>115</v>
      </c>
      <c r="D6" s="156" t="s">
        <v>116</v>
      </c>
      <c r="E6" s="156" t="s">
        <v>117</v>
      </c>
      <c r="F6" s="160" t="s">
        <v>118</v>
      </c>
      <c r="G6" s="96" t="s">
        <v>119</v>
      </c>
      <c r="H6" s="150" t="s">
        <v>120</v>
      </c>
    </row>
    <row r="7" spans="1:10" ht="14.4" thickBot="1">
      <c r="A7" s="153"/>
      <c r="B7" s="155"/>
      <c r="C7" s="157"/>
      <c r="D7" s="157"/>
      <c r="E7" s="157"/>
      <c r="F7" s="159"/>
      <c r="G7" s="98" t="s">
        <v>121</v>
      </c>
      <c r="H7" s="151"/>
    </row>
    <row r="8" spans="1:10">
      <c r="A8" s="152">
        <v>404446911249954</v>
      </c>
      <c r="B8" s="154" t="s">
        <v>81</v>
      </c>
      <c r="C8" s="156" t="s">
        <v>122</v>
      </c>
      <c r="D8" s="156" t="s">
        <v>116</v>
      </c>
      <c r="E8" s="156" t="s">
        <v>117</v>
      </c>
      <c r="F8" s="158" t="s">
        <v>118</v>
      </c>
      <c r="G8" s="96" t="s">
        <v>119</v>
      </c>
      <c r="H8" s="150" t="s">
        <v>120</v>
      </c>
    </row>
    <row r="9" spans="1:10" ht="14.4" thickBot="1">
      <c r="A9" s="153"/>
      <c r="B9" s="155"/>
      <c r="C9" s="157"/>
      <c r="D9" s="157"/>
      <c r="E9" s="157"/>
      <c r="F9" s="159"/>
      <c r="G9" s="98" t="s">
        <v>121</v>
      </c>
      <c r="H9" s="151"/>
    </row>
    <row r="10" spans="1:10">
      <c r="A10" s="152">
        <v>9916899497</v>
      </c>
      <c r="B10" s="154" t="s">
        <v>19</v>
      </c>
      <c r="C10" s="156" t="s">
        <v>115</v>
      </c>
      <c r="D10" s="156" t="s">
        <v>116</v>
      </c>
      <c r="E10" s="156" t="s">
        <v>117</v>
      </c>
      <c r="F10" s="158" t="s">
        <v>118</v>
      </c>
      <c r="G10" s="96" t="s">
        <v>119</v>
      </c>
      <c r="H10" s="150" t="s">
        <v>120</v>
      </c>
    </row>
    <row r="11" spans="1:10" ht="14.4" thickBot="1">
      <c r="A11" s="153"/>
      <c r="B11" s="155"/>
      <c r="C11" s="157"/>
      <c r="D11" s="157"/>
      <c r="E11" s="157"/>
      <c r="F11" s="159"/>
      <c r="G11" s="98" t="s">
        <v>121</v>
      </c>
      <c r="H11" s="151"/>
    </row>
    <row r="12" spans="1:10">
      <c r="A12" s="152">
        <v>404446911250190</v>
      </c>
      <c r="B12" s="154" t="s">
        <v>81</v>
      </c>
      <c r="C12" s="156" t="s">
        <v>122</v>
      </c>
      <c r="D12" s="156" t="s">
        <v>116</v>
      </c>
      <c r="E12" s="156" t="s">
        <v>117</v>
      </c>
      <c r="F12" s="158" t="s">
        <v>118</v>
      </c>
      <c r="G12" s="96" t="s">
        <v>119</v>
      </c>
      <c r="H12" s="150" t="s">
        <v>120</v>
      </c>
    </row>
    <row r="13" spans="1:10" ht="14.4" thickBot="1">
      <c r="A13" s="153"/>
      <c r="B13" s="155"/>
      <c r="C13" s="157"/>
      <c r="D13" s="157"/>
      <c r="E13" s="157"/>
      <c r="F13" s="159"/>
      <c r="G13" s="98" t="s">
        <v>121</v>
      </c>
      <c r="H13" s="151"/>
    </row>
    <row r="14" spans="1:10" ht="14.4" thickBot="1">
      <c r="A14" s="120">
        <v>382822574888054</v>
      </c>
      <c r="B14" s="121" t="s">
        <v>90</v>
      </c>
      <c r="C14" s="122"/>
      <c r="D14" s="122" t="s">
        <v>116</v>
      </c>
      <c r="E14" s="122" t="s">
        <v>117</v>
      </c>
      <c r="F14" s="123" t="s">
        <v>118</v>
      </c>
      <c r="G14" s="122" t="s">
        <v>119</v>
      </c>
      <c r="H14" s="99" t="s">
        <v>120</v>
      </c>
    </row>
    <row r="15" spans="1:10" ht="14.4" thickBot="1">
      <c r="A15" s="125">
        <v>382822574888054</v>
      </c>
      <c r="B15" s="126" t="s">
        <v>90</v>
      </c>
    </row>
    <row r="16" spans="1:10" ht="14.4" thickBot="1">
      <c r="A16" s="125">
        <v>35354242888059</v>
      </c>
      <c r="B16" s="126" t="s">
        <v>90</v>
      </c>
    </row>
    <row r="17" spans="1:7">
      <c r="A17" s="102" t="s">
        <v>123</v>
      </c>
      <c r="B17" s="102"/>
      <c r="C17" s="102"/>
      <c r="D17" s="102"/>
      <c r="E17" s="102"/>
      <c r="F17" s="102"/>
      <c r="G17" s="102"/>
    </row>
    <row r="18" spans="1:7">
      <c r="A18"/>
    </row>
    <row r="19" spans="1:7">
      <c r="A19" t="s">
        <v>124</v>
      </c>
    </row>
    <row r="20" spans="1:7">
      <c r="A20"/>
    </row>
    <row r="21" spans="1:7">
      <c r="A21" t="s">
        <v>125</v>
      </c>
    </row>
    <row r="22" spans="1:7" ht="41.4">
      <c r="A22" s="104">
        <v>9620902766</v>
      </c>
      <c r="B22" s="104" t="s">
        <v>126</v>
      </c>
      <c r="C22" s="104">
        <v>404860430553829</v>
      </c>
      <c r="D22" s="104" t="s">
        <v>127</v>
      </c>
    </row>
    <row r="23" spans="1:7">
      <c r="A23"/>
    </row>
  </sheetData>
  <mergeCells count="42">
    <mergeCell ref="H2:H3"/>
    <mergeCell ref="A4:A5"/>
    <mergeCell ref="B4:B5"/>
    <mergeCell ref="C4:C5"/>
    <mergeCell ref="D4:D5"/>
    <mergeCell ref="E4:E5"/>
    <mergeCell ref="F4:F5"/>
    <mergeCell ref="H4:H5"/>
    <mergeCell ref="A2:A3"/>
    <mergeCell ref="B2:B3"/>
    <mergeCell ref="C2:C3"/>
    <mergeCell ref="D2:D3"/>
    <mergeCell ref="E2:E3"/>
    <mergeCell ref="F2:F3"/>
    <mergeCell ref="H6:H7"/>
    <mergeCell ref="A8:A9"/>
    <mergeCell ref="B8:B9"/>
    <mergeCell ref="C8:C9"/>
    <mergeCell ref="D8:D9"/>
    <mergeCell ref="E8:E9"/>
    <mergeCell ref="F8:F9"/>
    <mergeCell ref="H8:H9"/>
    <mergeCell ref="A6:A7"/>
    <mergeCell ref="B6:B7"/>
    <mergeCell ref="C6:C7"/>
    <mergeCell ref="D6:D7"/>
    <mergeCell ref="E6:E7"/>
    <mergeCell ref="F6:F7"/>
    <mergeCell ref="H10:H11"/>
    <mergeCell ref="A12:A13"/>
    <mergeCell ref="B12:B13"/>
    <mergeCell ref="C12:C13"/>
    <mergeCell ref="D12:D13"/>
    <mergeCell ref="E12:E13"/>
    <mergeCell ref="F12:F13"/>
    <mergeCell ref="H12:H13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6F68-3BE3-4440-8F1B-E53F8C14EAF0}">
  <dimension ref="A1:N2"/>
  <sheetViews>
    <sheetView workbookViewId="0">
      <selection activeCell="A2" sqref="A2"/>
    </sheetView>
  </sheetViews>
  <sheetFormatPr defaultRowHeight="13.8"/>
  <cols>
    <col min="1" max="1" width="20.44140625" style="101" bestFit="1" customWidth="1"/>
  </cols>
  <sheetData>
    <row r="1" spans="1:14" ht="14.4" thickBot="1">
      <c r="A1" s="130" t="s">
        <v>107</v>
      </c>
      <c r="B1" s="127" t="s">
        <v>108</v>
      </c>
      <c r="C1" s="127" t="s">
        <v>128</v>
      </c>
      <c r="D1" s="127" t="s">
        <v>109</v>
      </c>
      <c r="E1" s="127" t="s">
        <v>111</v>
      </c>
      <c r="F1" s="127" t="s">
        <v>112</v>
      </c>
      <c r="G1" s="127" t="s">
        <v>129</v>
      </c>
      <c r="H1" s="127" t="s">
        <v>130</v>
      </c>
      <c r="I1" s="127" t="s">
        <v>114</v>
      </c>
      <c r="J1" s="127" t="s">
        <v>131</v>
      </c>
      <c r="K1" s="127" t="s">
        <v>132</v>
      </c>
      <c r="L1" s="127" t="s">
        <v>133</v>
      </c>
      <c r="M1" s="127" t="s">
        <v>134</v>
      </c>
      <c r="N1" s="127" t="s">
        <v>135</v>
      </c>
    </row>
    <row r="2" spans="1:14" ht="23.4" thickBot="1">
      <c r="A2" s="131">
        <v>35354242888059</v>
      </c>
      <c r="B2" s="124" t="s">
        <v>90</v>
      </c>
      <c r="C2" s="129"/>
      <c r="D2" s="124" t="s">
        <v>136</v>
      </c>
      <c r="E2" s="124" t="s">
        <v>117</v>
      </c>
      <c r="F2" s="124" t="s">
        <v>137</v>
      </c>
      <c r="G2" s="124" t="s">
        <v>138</v>
      </c>
      <c r="H2" s="129" t="s">
        <v>139</v>
      </c>
      <c r="I2" s="124" t="s">
        <v>140</v>
      </c>
      <c r="J2" s="124" t="s">
        <v>117</v>
      </c>
      <c r="K2" s="128" t="s">
        <v>141</v>
      </c>
      <c r="L2" s="124" t="s">
        <v>142</v>
      </c>
      <c r="M2" s="129"/>
      <c r="N2" s="124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a833b68c-6c98-474a-97a7-48ee1f6b03dc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59B7CD5D-8717-4C4C-922C-D1C90AB0EA9C}">
  <ds:schemaRefs>
    <ds:schemaRef ds:uri="http://schemas.titus.com/TitusProperties/"/>
    <ds:schemaRef ds:uri="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SBC04_VoLTE LI</vt:lpstr>
      <vt:lpstr>SBC05_VOLTE LI</vt:lpstr>
      <vt:lpstr>SBC06_VoLTE LI</vt:lpstr>
      <vt:lpstr>Summary</vt:lpstr>
      <vt:lpstr>Sheet1</vt:lpstr>
      <vt:lpstr>Sheet2</vt:lpstr>
    </vt:vector>
  </TitlesOfParts>
  <Manager/>
  <Company>VodafoneIdea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 H, Haritha (KTN), Vodafone Idea</dc:creator>
  <cp:keywords/>
  <dc:description/>
  <cp:lastModifiedBy>Uttam Kumar Jena</cp:lastModifiedBy>
  <cp:revision/>
  <dcterms:created xsi:type="dcterms:W3CDTF">2025-02-15T06:01:20Z</dcterms:created>
  <dcterms:modified xsi:type="dcterms:W3CDTF">2026-06-27T06:46:11Z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a833b68c-6c98-474a-97a7-48ee1f6b03dc</vt:lpwstr>
  </property>
  <property fmtid="{D5CDD505-2E9C-101B-9397-08002B2CF9AE}" pid="3" name="Classification">
    <vt:lpwstr>C2VILGeneral</vt:lpwstr>
  </property>
</Properties>
</file>