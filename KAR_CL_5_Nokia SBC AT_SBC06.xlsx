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norsin\Downloads\VIL_India\VIL-Q2-2026\KAR-CL-5-CFX02\FUAT Test Sheet\"/>
    </mc:Choice>
  </mc:AlternateContent>
  <xr:revisionPtr revIDLastSave="0" documentId="13_ncr:1_{F74740CE-C1FF-40D6-98C5-CF7CB7F0D335}" xr6:coauthVersionLast="47" xr6:coauthVersionMax="47" xr10:uidLastSave="{00000000-0000-0000-0000-000000000000}"/>
  <bookViews>
    <workbookView xWindow="-110" yWindow="-110" windowWidth="19420" windowHeight="10300" activeTab="1" xr2:uid="{E6B5613F-6C10-4941-AF0D-0B4323E280BE}"/>
  </bookViews>
  <sheets>
    <sheet name="Summary-KAR-SBC06" sheetId="10" r:id="rId1"/>
    <sheet name="KAR-SBC06" sheetId="9" r:id="rId2"/>
    <sheet name="Sheet1" sheetId="8" state="hidden" r:id="rId3"/>
  </sheets>
  <definedNames>
    <definedName name="_xlnm._FilterDatabase" localSheetId="1" hidden="1">'KAR-SBC06'!$A$1:$H$55</definedName>
    <definedName name="_xlnm._FilterDatabase" localSheetId="2" hidden="1">Sheet1!$A$1:$L$41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0" l="1"/>
  <c r="B16" i="10"/>
  <c r="E15" i="10"/>
  <c r="D15" i="10"/>
  <c r="D16" i="10" l="1"/>
  <c r="E16" i="10"/>
  <c r="E14" i="10"/>
  <c r="E13" i="10"/>
  <c r="E12" i="10"/>
  <c r="E11" i="10"/>
  <c r="E10" i="10"/>
  <c r="E9" i="10"/>
  <c r="E8" i="10"/>
  <c r="E7" i="10"/>
  <c r="E6" i="10"/>
  <c r="E5" i="10"/>
  <c r="E4" i="10"/>
  <c r="D14" i="10"/>
  <c r="D13" i="10"/>
  <c r="D12" i="10"/>
  <c r="D11" i="10"/>
  <c r="D10" i="10"/>
  <c r="D9" i="10"/>
  <c r="D8" i="10"/>
  <c r="D7" i="10"/>
  <c r="D6" i="10"/>
  <c r="D5" i="10"/>
  <c r="D4" i="10"/>
</calcChain>
</file>

<file path=xl/sharedStrings.xml><?xml version="1.0" encoding="utf-8"?>
<sst xmlns="http://schemas.openxmlformats.org/spreadsheetml/2006/main" count="506" uniqueCount="170">
  <si>
    <t>Category</t>
  </si>
  <si>
    <t>TC ID</t>
  </si>
  <si>
    <t>Test Cases</t>
  </si>
  <si>
    <t>Remark</t>
  </si>
  <si>
    <t>Basic Calls &amp; Announcements</t>
  </si>
  <si>
    <t>BCA_1</t>
  </si>
  <si>
    <t>VoLTE to VoLTE A Clear</t>
  </si>
  <si>
    <t>OK</t>
  </si>
  <si>
    <t>BCA_8</t>
  </si>
  <si>
    <t>VoLTE to VoLTE -B Put on Hold &amp; Then Resume</t>
  </si>
  <si>
    <t>BCA_11</t>
  </si>
  <si>
    <t>VoLTE to 2G/3G B Clear</t>
  </si>
  <si>
    <t>BCA_17</t>
  </si>
  <si>
    <t>VoLTE to 2G/3G -B Put on Hold &amp; Then Resume</t>
  </si>
  <si>
    <t>BCA_107</t>
  </si>
  <si>
    <t>VoLTE to 2G/3G(Other operator) A Clear</t>
  </si>
  <si>
    <t>BCA_116</t>
  </si>
  <si>
    <t>VoLTE to 2G/3G(Other operator) -B is on another call</t>
  </si>
  <si>
    <t>BCA_19</t>
  </si>
  <si>
    <t>2G/3G to VoLTE A Clear</t>
  </si>
  <si>
    <t>BCA_30</t>
  </si>
  <si>
    <t>VoLTE (in 2G/3G) to VoLTE B Clear</t>
  </si>
  <si>
    <t>BCA_118</t>
  </si>
  <si>
    <t>2G/3G (Other Operator) to VoLTE A Clear</t>
  </si>
  <si>
    <t>BCA_97</t>
  </si>
  <si>
    <t>Video:VoLTE to VoLTE A Clear</t>
  </si>
  <si>
    <t>Registration</t>
  </si>
  <si>
    <t>Reg_1</t>
  </si>
  <si>
    <t>SIP Registration IMS AKA (IMS Registeration)</t>
  </si>
  <si>
    <t>Reg_3</t>
  </si>
  <si>
    <t>UE Registration (SUBSCRIBE/NOTIFY dialog included).</t>
  </si>
  <si>
    <t>Reg_4</t>
  </si>
  <si>
    <t>UE initiated De-Registration (SUBSCRIBE/NOTIFY dialog included).</t>
  </si>
  <si>
    <t>Reg_5</t>
  </si>
  <si>
    <t>UE Refresh-Registration.</t>
  </si>
  <si>
    <t>Dialing Pattern</t>
  </si>
  <si>
    <t>DLP8</t>
  </si>
  <si>
    <t>DLP11</t>
  </si>
  <si>
    <t xml:space="preserve">NTFS: 18602102484 </t>
  </si>
  <si>
    <t>Emergency Services</t>
  </si>
  <si>
    <t>ES6</t>
  </si>
  <si>
    <t>Check Emergency Service with all Emergency Numbers (100/101-----112)</t>
  </si>
  <si>
    <t>Functional Test Cases</t>
  </si>
  <si>
    <t>FNC_21</t>
  </si>
  <si>
    <t>Short Message using IPSMGW, VoTLE to VoLTE</t>
  </si>
  <si>
    <t>Audio Conference</t>
  </si>
  <si>
    <t>MPTY2</t>
  </si>
  <si>
    <t>To Verify the Conference Calling when  3 participants are VoLTE  in VoLTE Coverage and 2 participants are in CS coverage.</t>
  </si>
  <si>
    <t>VAS Services</t>
  </si>
  <si>
    <t>VAS_27</t>
  </si>
  <si>
    <t>Short Codes: 198</t>
  </si>
  <si>
    <t>FNC_10</t>
  </si>
  <si>
    <t>Audio to Video Upgrade</t>
  </si>
  <si>
    <t>FNC_11</t>
  </si>
  <si>
    <t>Video to Audio downgrade</t>
  </si>
  <si>
    <t>FNC_12</t>
  </si>
  <si>
    <t>Video Call Hold &amp; Resume</t>
  </si>
  <si>
    <t>NOK</t>
  </si>
  <si>
    <t>FNC_13</t>
  </si>
  <si>
    <t>VoWifi to VoWifi, A clears</t>
  </si>
  <si>
    <t>FNC_14</t>
  </si>
  <si>
    <t>VoWifi to Volte, B clears</t>
  </si>
  <si>
    <t>FNC_15</t>
  </si>
  <si>
    <t>VoLTE to VoWIFI, B clears</t>
  </si>
  <si>
    <t>SRVCC</t>
  </si>
  <si>
    <t>eSRVCC_1</t>
  </si>
  <si>
    <t>To verify that calling party VoLTE (A) is able to make eSRVCC handover to 3G/2G during active call</t>
  </si>
  <si>
    <t>eSRVCC_2</t>
  </si>
  <si>
    <t>To verify that called party VoLTE (B) is able to make eSRVCC handover to 3G/2G during active call</t>
  </si>
  <si>
    <t>Billing-Postpaid</t>
  </si>
  <si>
    <t>Interbrand</t>
  </si>
  <si>
    <t>VoLTE (e-VF  PLMN x ) subscriber making call to VoLTE (e-Idea PLMN x) subscriber, Home PLMN</t>
  </si>
  <si>
    <t>VoLTE (eIdea,  PLMN x) subscriber making call to VoLTE (e-VF, PLMN x) subscriber, Home PLMN</t>
  </si>
  <si>
    <t>VoLTE (e-VF  PLMN x ) subscriber making call to VoLTE (e-Idea PLMN y) subscriber, Inter PLMN</t>
  </si>
  <si>
    <t>VoLTE (eIdea,  PLMN x) subscriber making call to VoLTE (e-VF, PLMN y) subscriber, Inter PLMN</t>
  </si>
  <si>
    <t>Roaming</t>
  </si>
  <si>
    <t>ROAM1</t>
  </si>
  <si>
    <t>Verify Roaming User is able to Register from Visiting Circle.</t>
  </si>
  <si>
    <t>ROAM2</t>
  </si>
  <si>
    <t>Roaming User Outgoing/Incoming Voice Call  to Volte and CS network</t>
  </si>
  <si>
    <t>Lawful Interception</t>
  </si>
  <si>
    <t>LI_MSISDN_1</t>
  </si>
  <si>
    <t>Regular Voice Call_MO (VoLTE)</t>
  </si>
  <si>
    <t>LI_MSISDN_2</t>
  </si>
  <si>
    <t>Regular Voice Call_MT (VoLTE)</t>
  </si>
  <si>
    <t>LI_MSISDN_3</t>
  </si>
  <si>
    <t>Regular Voice Call_MO (Breakout)</t>
  </si>
  <si>
    <t>LI_MSISDN_4</t>
  </si>
  <si>
    <t>Regular Voice Call_MT (Breakin)</t>
  </si>
  <si>
    <t>LI_IMSI_1</t>
  </si>
  <si>
    <t>LI_IMSI_2</t>
  </si>
  <si>
    <t>LI_IMSI_3</t>
  </si>
  <si>
    <t>LI_IMSI_4</t>
  </si>
  <si>
    <t>SBC07</t>
  </si>
  <si>
    <t>SBC05</t>
  </si>
  <si>
    <t>A Number</t>
  </si>
  <si>
    <t>B Number</t>
  </si>
  <si>
    <t>SNO.</t>
  </si>
  <si>
    <t>Circle</t>
  </si>
  <si>
    <t>MSISDN</t>
  </si>
  <si>
    <t>IMSI</t>
  </si>
  <si>
    <t>Brand</t>
  </si>
  <si>
    <t>Pre /Postpaid</t>
  </si>
  <si>
    <t>SBC</t>
  </si>
  <si>
    <t>Dummy Zone</t>
  </si>
  <si>
    <t>Live Zone</t>
  </si>
  <si>
    <t>Raj</t>
  </si>
  <si>
    <t>Vodafone</t>
  </si>
  <si>
    <t>Postpaid</t>
  </si>
  <si>
    <t>ims.mnc060.mcc105.3gppnetwork.org</t>
  </si>
  <si>
    <t>ims.mnc060.mcc404</t>
  </si>
  <si>
    <t>Done</t>
  </si>
  <si>
    <t>SBC06</t>
  </si>
  <si>
    <t>ims.mnc060.mcc106.3gppnetwork.org</t>
  </si>
  <si>
    <t>ims.mnc060.mcc107.3gppnetwork.org</t>
  </si>
  <si>
    <t>SBC08</t>
  </si>
  <si>
    <t>ims.mnc060.mcc108.3gppnetwork.org</t>
  </si>
  <si>
    <t>Idea</t>
  </si>
  <si>
    <t>ims.mnc087.mcc105.3gppnetwork.org</t>
  </si>
  <si>
    <t>ims.mnc087.mcc404</t>
  </si>
  <si>
    <t>ims.mnc087.mcc106.3gppnetwork.org</t>
  </si>
  <si>
    <t>ims.mnc087.mcc107.3gppnetwork.org</t>
  </si>
  <si>
    <t>ims.mnc087.mcc108.3gppnetwork.org</t>
  </si>
  <si>
    <t>Prepaid</t>
  </si>
  <si>
    <t>Status</t>
  </si>
  <si>
    <t>LI</t>
  </si>
  <si>
    <t>Fan</t>
  </si>
  <si>
    <t>FAN</t>
  </si>
  <si>
    <t>li</t>
  </si>
  <si>
    <t xml:space="preserve">li </t>
  </si>
  <si>
    <t xml:space="preserve">IMSI </t>
  </si>
  <si>
    <t>8503923638-</t>
  </si>
  <si>
    <t>Post cutover 10k</t>
  </si>
  <si>
    <t>C Number</t>
  </si>
  <si>
    <t>Grand Total</t>
  </si>
  <si>
    <t>Scope</t>
  </si>
  <si>
    <t>Completed Cases</t>
  </si>
  <si>
    <t>% Completion</t>
  </si>
  <si>
    <t>Pending Cases</t>
  </si>
  <si>
    <t>Dependency &amp; Support required</t>
  </si>
  <si>
    <t>Need Circle Support</t>
  </si>
  <si>
    <t>PLMN Wise testing</t>
  </si>
  <si>
    <t xml:space="preserve">PLMN_1-IDEA </t>
  </si>
  <si>
    <t xml:space="preserve">PLMN_10-IDEA </t>
  </si>
  <si>
    <t xml:space="preserve">PLMN_11-IDEA </t>
  </si>
  <si>
    <t xml:space="preserve">PLMN_12-IDEA </t>
  </si>
  <si>
    <t xml:space="preserve">PLMN_13-IDEA </t>
  </si>
  <si>
    <t xml:space="preserve">PLMN_2-IDEA </t>
  </si>
  <si>
    <t xml:space="preserve">PLMN_3-IDEA </t>
  </si>
  <si>
    <t xml:space="preserve">PLMN_4-IDEA </t>
  </si>
  <si>
    <t xml:space="preserve">PLMN_6-IDEA </t>
  </si>
  <si>
    <t xml:space="preserve">PLMN_7-IDEA </t>
  </si>
  <si>
    <t xml:space="preserve">PLMN_8-IDEA </t>
  </si>
  <si>
    <t xml:space="preserve">PLMN_9-IDEA </t>
  </si>
  <si>
    <t xml:space="preserve">PLMN Wise testing-IDEA </t>
  </si>
  <si>
    <t>Customer Care: 9092012345/9092000198</t>
  </si>
  <si>
    <t>Registration PLMN-2 (IDEA MAG)</t>
  </si>
  <si>
    <t>Short Message - CS to VoLTE (to  IDEA MAG)</t>
  </si>
  <si>
    <t>Video call MO-from IDEA MAG</t>
  </si>
  <si>
    <t>Video call MT-to IDEA MAG</t>
  </si>
  <si>
    <t>Call Forwarding Unconditional. (With Notification to A party) to IDEA MAG VoLTE</t>
  </si>
  <si>
    <t>VoLTE to VoLTE A Clear (IDEA MAG to IDEA MAG)</t>
  </si>
  <si>
    <t>VoLTE to VoLTE A Clear (IDEA MAG to MAG-VF)</t>
  </si>
  <si>
    <t>VoLTE to VoLTE A Clear (MAG-VF to IDEA MAG)</t>
  </si>
  <si>
    <t>VoLTE to 2G/3G(Other operator) B Clear from IDEA MAG</t>
  </si>
  <si>
    <t>2G/3G to VoLTE B Clear (to MAG IDEA)</t>
  </si>
  <si>
    <t>Short Message  - VoLTE to CS(from IDEA MAG)</t>
  </si>
  <si>
    <t>Short Message - VOLTE to VoLTE (from IDEA MAG)</t>
  </si>
  <si>
    <t>3-handset are using</t>
  </si>
  <si>
    <t>circle support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</si>
</sst>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indexed="8"/>
      <name val="Calibri"/>
      <family val="2"/>
    </font>
    <font>
      <sz val="9"/>
      <color rgb="FF000000"/>
      <name val="Calibri"/>
      <family val="2"/>
    </font>
    <font>
      <sz val="8"/>
      <color rgb="FF000000"/>
      <name val="Times New Roman"/>
      <family val="1"/>
    </font>
    <font>
      <sz val="9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43">
    <xf numFmtId="0" fontId="0" fillId="0" borderId="0" xfId="0"/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0" fontId="0" fillId="5" borderId="1" xfId="0" applyFill="1" applyBorder="1" applyAlignment="1">
      <alignment vertical="center"/>
    </xf>
    <xf numFmtId="1" fontId="0" fillId="5" borderId="1" xfId="0" applyNumberFormat="1" applyFill="1" applyBorder="1" applyAlignment="1">
      <alignment vertical="center"/>
    </xf>
    <xf numFmtId="0" fontId="3" fillId="5" borderId="1" xfId="2" applyFill="1" applyBorder="1" applyAlignment="1">
      <alignment vertical="center"/>
    </xf>
    <xf numFmtId="0" fontId="0" fillId="0" borderId="2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3" fillId="0" borderId="1" xfId="2" applyBorder="1" applyAlignment="1">
      <alignment vertical="center"/>
    </xf>
    <xf numFmtId="0" fontId="0" fillId="0" borderId="3" xfId="0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1" fontId="0" fillId="6" borderId="1" xfId="0" applyNumberFormat="1" applyFill="1" applyBorder="1" applyAlignment="1">
      <alignment vertical="center"/>
    </xf>
    <xf numFmtId="0" fontId="3" fillId="6" borderId="1" xfId="2" applyFill="1" applyBorder="1" applyAlignment="1">
      <alignment vertical="center"/>
    </xf>
    <xf numFmtId="0" fontId="0" fillId="6" borderId="0" xfId="0" applyFill="1"/>
    <xf numFmtId="0" fontId="0" fillId="5" borderId="0" xfId="0" applyFill="1"/>
    <xf numFmtId="1" fontId="0" fillId="0" borderId="0" xfId="0" applyNumberFormat="1"/>
    <xf numFmtId="0" fontId="0" fillId="3" borderId="1" xfId="0" applyFill="1" applyBorder="1" applyAlignment="1">
      <alignment vertical="center"/>
    </xf>
    <xf numFmtId="1" fontId="0" fillId="4" borderId="1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9" fontId="7" fillId="7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9" fontId="6" fillId="0" borderId="1" xfId="3" applyFont="1" applyFill="1" applyBorder="1" applyAlignment="1">
      <alignment horizontal="center"/>
    </xf>
    <xf numFmtId="0" fontId="10" fillId="5" borderId="1" xfId="1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</cellXfs>
  <cellStyles count="4">
    <cellStyle name="Excel Built-in Normal" xfId="1" xr:uid="{C32E9ACD-E659-489F-8957-D20CFBA724F1}"/>
    <cellStyle name="Hyperlink" xfId="2" builtinId="8"/>
    <cellStyle name="Normal" xfId="0" builtinId="0"/>
    <cellStyle name="Percent" xfId="3" builtinId="5"/>
  </cellStyles>
  <dxfs count="8">
    <dxf>
      <fill>
        <patternFill patternType="solid">
          <fgColor indexed="21"/>
          <bgColor indexed="57"/>
        </patternFill>
      </fill>
    </dxf>
    <dxf>
      <fill>
        <patternFill patternType="solid">
          <fgColor indexed="21"/>
          <bgColor indexed="57"/>
        </patternFill>
      </fill>
    </dxf>
    <dxf>
      <fill>
        <patternFill patternType="solid">
          <fgColor indexed="21"/>
          <bgColor indexed="57"/>
        </patternFill>
      </fill>
    </dxf>
    <dxf>
      <fill>
        <patternFill patternType="solid">
          <fgColor indexed="21"/>
          <bgColor indexed="57"/>
        </patternFill>
      </fill>
    </dxf>
    <dxf>
      <fill>
        <patternFill patternType="solid">
          <fgColor indexed="21"/>
          <bgColor indexed="57"/>
        </patternFill>
      </fill>
    </dxf>
    <dxf>
      <fill>
        <patternFill patternType="solid">
          <fgColor indexed="21"/>
          <bgColor indexed="57"/>
        </patternFill>
      </fill>
    </dxf>
    <dxf>
      <fill>
        <patternFill patternType="solid">
          <fgColor indexed="21"/>
          <bgColor indexed="57"/>
        </patternFill>
      </fill>
    </dxf>
    <dxf>
      <fill>
        <patternFill patternType="solid">
          <fgColor indexed="21"/>
          <bgColor indexed="57"/>
        </patternFill>
      </fill>
    </dxf>
  </dxfs>
  <tableStyles count="0" defaultTableStyle="TableStyleMedium2" defaultPivotStyle="PivotStyleLight16"/>
  <colors>
    <mruColors>
      <color rgb="FF99FF66"/>
      <color rgb="FFC5FB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ims.mnc087.mcc103.3gppnetwork.org/" TargetMode="External"/><Relationship Id="rId18" Type="http://schemas.openxmlformats.org/officeDocument/2006/relationships/hyperlink" Target="http://ims.mnc087.mcc106.3gppnetwork.org/" TargetMode="External"/><Relationship Id="rId26" Type="http://schemas.openxmlformats.org/officeDocument/2006/relationships/hyperlink" Target="http://ims.mnc060.mcc105.3gppnetwork.org/" TargetMode="External"/><Relationship Id="rId39" Type="http://schemas.openxmlformats.org/officeDocument/2006/relationships/hyperlink" Target="http://ims.mnc087.mcc106.3gppnetwork.org/" TargetMode="External"/><Relationship Id="rId21" Type="http://schemas.openxmlformats.org/officeDocument/2006/relationships/hyperlink" Target="http://ims.mnc060.mcc103.3gppnetwork.org/" TargetMode="External"/><Relationship Id="rId34" Type="http://schemas.openxmlformats.org/officeDocument/2006/relationships/hyperlink" Target="http://ims.mnc087.mcc104.3gppnetwork.org/" TargetMode="External"/><Relationship Id="rId7" Type="http://schemas.openxmlformats.org/officeDocument/2006/relationships/hyperlink" Target="http://ims.mnc060.mcc105.3gppnetwork.org/" TargetMode="External"/><Relationship Id="rId12" Type="http://schemas.openxmlformats.org/officeDocument/2006/relationships/hyperlink" Target="http://ims.mnc087.mcc103.3gppnetwork.org/" TargetMode="External"/><Relationship Id="rId17" Type="http://schemas.openxmlformats.org/officeDocument/2006/relationships/hyperlink" Target="http://ims.mnc087.mcc105.3gppnetwork.org/" TargetMode="External"/><Relationship Id="rId25" Type="http://schemas.openxmlformats.org/officeDocument/2006/relationships/hyperlink" Target="http://ims.mnc060.mcc104.3gppnetwork.org/" TargetMode="External"/><Relationship Id="rId33" Type="http://schemas.openxmlformats.org/officeDocument/2006/relationships/hyperlink" Target="http://ims.mnc087.mcc105.3gppnetwork.org/" TargetMode="External"/><Relationship Id="rId38" Type="http://schemas.openxmlformats.org/officeDocument/2006/relationships/hyperlink" Target="http://ims.mnc087.mcc106.3gppnetwork.org/" TargetMode="External"/><Relationship Id="rId2" Type="http://schemas.openxmlformats.org/officeDocument/2006/relationships/hyperlink" Target="http://ims.mnc060.mcc103.3gppnetwork.org/" TargetMode="External"/><Relationship Id="rId16" Type="http://schemas.openxmlformats.org/officeDocument/2006/relationships/hyperlink" Target="http://ims.mnc087.mcc105.3gppnetwork.org/" TargetMode="External"/><Relationship Id="rId20" Type="http://schemas.openxmlformats.org/officeDocument/2006/relationships/hyperlink" Target="http://ims.mnc087.mcc104.3gppnetwork.org/" TargetMode="External"/><Relationship Id="rId29" Type="http://schemas.openxmlformats.org/officeDocument/2006/relationships/hyperlink" Target="http://ims.mnc060.mcc106.3gppnetwork.org/" TargetMode="External"/><Relationship Id="rId1" Type="http://schemas.openxmlformats.org/officeDocument/2006/relationships/hyperlink" Target="http://ims.mnc060.mcc103.3gppnetwork.org/" TargetMode="External"/><Relationship Id="rId6" Type="http://schemas.openxmlformats.org/officeDocument/2006/relationships/hyperlink" Target="http://ims.mnc060.mcc105.3gppnetwork.org/" TargetMode="External"/><Relationship Id="rId11" Type="http://schemas.openxmlformats.org/officeDocument/2006/relationships/hyperlink" Target="http://ims.mnc087.mcc103.3gppnetwork.org/" TargetMode="External"/><Relationship Id="rId24" Type="http://schemas.openxmlformats.org/officeDocument/2006/relationships/hyperlink" Target="http://ims.mnc060.mcc104.3gppnetwork.org/" TargetMode="External"/><Relationship Id="rId32" Type="http://schemas.openxmlformats.org/officeDocument/2006/relationships/hyperlink" Target="http://ims.mnc087.mcc105.3gppnetwork.org/" TargetMode="External"/><Relationship Id="rId37" Type="http://schemas.openxmlformats.org/officeDocument/2006/relationships/hyperlink" Target="http://ims.mnc087.mcc105.3gppnetwork.org/" TargetMode="External"/><Relationship Id="rId40" Type="http://schemas.openxmlformats.org/officeDocument/2006/relationships/hyperlink" Target="http://ims.mnc087.mcc104.3gppnetwork.org/" TargetMode="External"/><Relationship Id="rId5" Type="http://schemas.openxmlformats.org/officeDocument/2006/relationships/hyperlink" Target="http://ims.mnc060.mcc104.3gppnetwork.org/" TargetMode="External"/><Relationship Id="rId15" Type="http://schemas.openxmlformats.org/officeDocument/2006/relationships/hyperlink" Target="http://ims.mnc087.mcc104.3gppnetwork.org/" TargetMode="External"/><Relationship Id="rId23" Type="http://schemas.openxmlformats.org/officeDocument/2006/relationships/hyperlink" Target="http://ims.mnc060.mcc103.3gppnetwork.org/" TargetMode="External"/><Relationship Id="rId28" Type="http://schemas.openxmlformats.org/officeDocument/2006/relationships/hyperlink" Target="http://ims.mnc060.mcc106.3gppnetwork.org/" TargetMode="External"/><Relationship Id="rId36" Type="http://schemas.openxmlformats.org/officeDocument/2006/relationships/hyperlink" Target="http://ims.mnc087.mcc105.3gppnetwork.org/" TargetMode="External"/><Relationship Id="rId10" Type="http://schemas.openxmlformats.org/officeDocument/2006/relationships/hyperlink" Target="http://ims.mnc060.mcc104.3gppnetwork.org/" TargetMode="External"/><Relationship Id="rId19" Type="http://schemas.openxmlformats.org/officeDocument/2006/relationships/hyperlink" Target="http://ims.mnc087.mcc106.3gppnetwork.org/" TargetMode="External"/><Relationship Id="rId31" Type="http://schemas.openxmlformats.org/officeDocument/2006/relationships/hyperlink" Target="http://ims.mnc087.mcc105.3gppnetwork.org/" TargetMode="External"/><Relationship Id="rId4" Type="http://schemas.openxmlformats.org/officeDocument/2006/relationships/hyperlink" Target="http://ims.mnc060.mcc104.3gppnetwork.org/" TargetMode="External"/><Relationship Id="rId9" Type="http://schemas.openxmlformats.org/officeDocument/2006/relationships/hyperlink" Target="http://ims.mnc060.mcc106.3gppnetwork.org/" TargetMode="External"/><Relationship Id="rId14" Type="http://schemas.openxmlformats.org/officeDocument/2006/relationships/hyperlink" Target="http://ims.mnc087.mcc104.3gppnetwork.org/" TargetMode="External"/><Relationship Id="rId22" Type="http://schemas.openxmlformats.org/officeDocument/2006/relationships/hyperlink" Target="http://ims.mnc060.mcc103.3gppnetwork.org/" TargetMode="External"/><Relationship Id="rId27" Type="http://schemas.openxmlformats.org/officeDocument/2006/relationships/hyperlink" Target="http://ims.mnc060.mcc105.3gppnetwork.org/" TargetMode="External"/><Relationship Id="rId30" Type="http://schemas.openxmlformats.org/officeDocument/2006/relationships/hyperlink" Target="http://ims.mnc060.mcc104.3gppnetwork.org/" TargetMode="External"/><Relationship Id="rId35" Type="http://schemas.openxmlformats.org/officeDocument/2006/relationships/hyperlink" Target="http://ims.mnc087.mcc104.3gppnetwork.org/" TargetMode="External"/><Relationship Id="rId8" Type="http://schemas.openxmlformats.org/officeDocument/2006/relationships/hyperlink" Target="http://ims.mnc060.mcc106.3gppnetwork.org/" TargetMode="External"/><Relationship Id="rId3" Type="http://schemas.openxmlformats.org/officeDocument/2006/relationships/hyperlink" Target="http://ims.mnc060.mcc103.3gppnetwork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7A50-7E48-48F6-B067-668DCB8319D6}">
  <dimension ref="A3:F16"/>
  <sheetViews>
    <sheetView workbookViewId="0">
      <selection activeCell="C8" sqref="C8"/>
    </sheetView>
  </sheetViews>
  <sheetFormatPr defaultRowHeight="14.5" x14ac:dyDescent="0.35"/>
  <cols>
    <col min="1" max="1" width="27.453125" bestFit="1" customWidth="1"/>
    <col min="2" max="2" width="6.1796875" bestFit="1" customWidth="1"/>
    <col min="3" max="3" width="16.54296875" bestFit="1" customWidth="1"/>
    <col min="4" max="4" width="13.6328125" bestFit="1" customWidth="1"/>
    <col min="5" max="5" width="13.90625" bestFit="1" customWidth="1"/>
    <col min="6" max="6" width="30.6328125" bestFit="1" customWidth="1"/>
    <col min="7" max="36" width="15.26953125" bestFit="1" customWidth="1"/>
    <col min="37" max="37" width="10.7265625" bestFit="1" customWidth="1"/>
  </cols>
  <sheetData>
    <row r="3" spans="1:6" x14ac:dyDescent="0.35">
      <c r="A3" s="22" t="s">
        <v>2</v>
      </c>
      <c r="B3" s="22" t="s">
        <v>135</v>
      </c>
      <c r="C3" s="22" t="s">
        <v>136</v>
      </c>
      <c r="D3" s="22" t="s">
        <v>137</v>
      </c>
      <c r="E3" s="22" t="s">
        <v>138</v>
      </c>
      <c r="F3" s="22" t="s">
        <v>139</v>
      </c>
    </row>
    <row r="4" spans="1:6" x14ac:dyDescent="0.35">
      <c r="A4" s="33" t="s">
        <v>45</v>
      </c>
      <c r="B4" s="33">
        <v>1</v>
      </c>
      <c r="C4" s="33">
        <v>0</v>
      </c>
      <c r="D4" s="34">
        <f>C4/B4</f>
        <v>0</v>
      </c>
      <c r="E4" s="33">
        <f>B4-C4</f>
        <v>1</v>
      </c>
      <c r="F4" s="33"/>
    </row>
    <row r="5" spans="1:6" x14ac:dyDescent="0.35">
      <c r="A5" s="33" t="s">
        <v>4</v>
      </c>
      <c r="B5" s="33">
        <v>10</v>
      </c>
      <c r="C5" s="33">
        <v>0</v>
      </c>
      <c r="D5" s="34">
        <f t="shared" ref="D5:D16" si="0">C5/B5</f>
        <v>0</v>
      </c>
      <c r="E5" s="33">
        <f t="shared" ref="E5:E16" si="1">B5-C5</f>
        <v>10</v>
      </c>
      <c r="F5" s="33"/>
    </row>
    <row r="6" spans="1:6" x14ac:dyDescent="0.35">
      <c r="A6" s="33" t="s">
        <v>69</v>
      </c>
      <c r="B6" s="33">
        <v>4</v>
      </c>
      <c r="C6" s="33">
        <v>0</v>
      </c>
      <c r="D6" s="34">
        <f t="shared" si="0"/>
        <v>0</v>
      </c>
      <c r="E6" s="33">
        <f t="shared" si="1"/>
        <v>4</v>
      </c>
      <c r="F6" s="33"/>
    </row>
    <row r="7" spans="1:6" x14ac:dyDescent="0.35">
      <c r="A7" s="33" t="s">
        <v>35</v>
      </c>
      <c r="B7" s="33">
        <v>2</v>
      </c>
      <c r="C7" s="33">
        <v>0</v>
      </c>
      <c r="D7" s="34">
        <f t="shared" si="0"/>
        <v>0</v>
      </c>
      <c r="E7" s="33">
        <f t="shared" si="1"/>
        <v>2</v>
      </c>
      <c r="F7" s="33"/>
    </row>
    <row r="8" spans="1:6" x14ac:dyDescent="0.35">
      <c r="A8" s="33" t="s">
        <v>39</v>
      </c>
      <c r="B8" s="33">
        <v>1</v>
      </c>
      <c r="C8" s="33">
        <v>0</v>
      </c>
      <c r="D8" s="34">
        <f t="shared" si="0"/>
        <v>0</v>
      </c>
      <c r="E8" s="33">
        <f t="shared" si="1"/>
        <v>1</v>
      </c>
      <c r="F8" s="33"/>
    </row>
    <row r="9" spans="1:6" x14ac:dyDescent="0.35">
      <c r="A9" s="33" t="s">
        <v>42</v>
      </c>
      <c r="B9" s="33">
        <v>7</v>
      </c>
      <c r="C9" s="33">
        <v>0</v>
      </c>
      <c r="D9" s="34">
        <f t="shared" si="0"/>
        <v>0</v>
      </c>
      <c r="E9" s="33">
        <f t="shared" si="1"/>
        <v>7</v>
      </c>
      <c r="F9" s="33"/>
    </row>
    <row r="10" spans="1:6" x14ac:dyDescent="0.35">
      <c r="A10" s="33" t="s">
        <v>80</v>
      </c>
      <c r="B10" s="33">
        <v>8</v>
      </c>
      <c r="C10" s="33">
        <v>0</v>
      </c>
      <c r="D10" s="34">
        <f t="shared" si="0"/>
        <v>0</v>
      </c>
      <c r="E10" s="33">
        <f t="shared" si="1"/>
        <v>8</v>
      </c>
      <c r="F10" s="33"/>
    </row>
    <row r="11" spans="1:6" x14ac:dyDescent="0.35">
      <c r="A11" s="33" t="s">
        <v>26</v>
      </c>
      <c r="B11" s="33">
        <v>4</v>
      </c>
      <c r="C11" s="33">
        <v>0</v>
      </c>
      <c r="D11" s="34">
        <f t="shared" si="0"/>
        <v>0</v>
      </c>
      <c r="E11" s="33">
        <f t="shared" si="1"/>
        <v>4</v>
      </c>
      <c r="F11" s="33"/>
    </row>
    <row r="12" spans="1:6" x14ac:dyDescent="0.35">
      <c r="A12" s="33" t="s">
        <v>75</v>
      </c>
      <c r="B12" s="33">
        <v>2</v>
      </c>
      <c r="C12" s="33">
        <v>0</v>
      </c>
      <c r="D12" s="34">
        <f t="shared" si="0"/>
        <v>0</v>
      </c>
      <c r="E12" s="33">
        <f t="shared" si="1"/>
        <v>2</v>
      </c>
      <c r="F12" s="33" t="s">
        <v>132</v>
      </c>
    </row>
    <row r="13" spans="1:6" x14ac:dyDescent="0.35">
      <c r="A13" s="33" t="s">
        <v>64</v>
      </c>
      <c r="B13" s="33">
        <v>2</v>
      </c>
      <c r="C13" s="33">
        <v>0</v>
      </c>
      <c r="D13" s="34">
        <f t="shared" si="0"/>
        <v>0</v>
      </c>
      <c r="E13" s="33">
        <f t="shared" si="1"/>
        <v>2</v>
      </c>
      <c r="F13" s="33" t="s">
        <v>140</v>
      </c>
    </row>
    <row r="14" spans="1:6" x14ac:dyDescent="0.35">
      <c r="A14" s="33" t="s">
        <v>48</v>
      </c>
      <c r="B14" s="33">
        <v>1</v>
      </c>
      <c r="C14" s="33">
        <v>0</v>
      </c>
      <c r="D14" s="34">
        <f t="shared" si="0"/>
        <v>0</v>
      </c>
      <c r="E14" s="33">
        <f t="shared" si="1"/>
        <v>1</v>
      </c>
      <c r="F14" s="33"/>
    </row>
    <row r="15" spans="1:6" x14ac:dyDescent="0.35">
      <c r="A15" s="35" t="s">
        <v>154</v>
      </c>
      <c r="B15" s="35">
        <v>12</v>
      </c>
      <c r="C15" s="33">
        <v>0</v>
      </c>
      <c r="D15" s="36">
        <f>C15/B15</f>
        <v>0</v>
      </c>
      <c r="E15" s="35">
        <f t="shared" si="1"/>
        <v>12</v>
      </c>
      <c r="F15" s="35"/>
    </row>
    <row r="16" spans="1:6" x14ac:dyDescent="0.35">
      <c r="A16" s="22" t="s">
        <v>134</v>
      </c>
      <c r="B16" s="22">
        <f>SUM(B4:B15)</f>
        <v>54</v>
      </c>
      <c r="C16" s="22">
        <f>SUM(C4:C15)</f>
        <v>0</v>
      </c>
      <c r="D16" s="23">
        <f t="shared" si="0"/>
        <v>0</v>
      </c>
      <c r="E16" s="22">
        <f t="shared" si="1"/>
        <v>54</v>
      </c>
      <c r="F16" s="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A053-4B9F-4AC8-9A5A-D3FCE07115C0}">
  <dimension ref="A1:H55"/>
  <sheetViews>
    <sheetView tabSelected="1" topLeftCell="B12" workbookViewId="0">
      <selection activeCell="E9" sqref="E9"/>
    </sheetView>
  </sheetViews>
  <sheetFormatPr defaultRowHeight="14.5" x14ac:dyDescent="0.35"/>
  <cols>
    <col min="1" max="1" width="23.54296875" bestFit="1" customWidth="1"/>
    <col min="2" max="2" width="18.7265625" customWidth="1"/>
    <col min="3" max="3" width="68" customWidth="1"/>
    <col min="4" max="4" width="20.26953125" bestFit="1" customWidth="1"/>
    <col min="5" max="5" width="22.453125" customWidth="1"/>
    <col min="6" max="6" width="15.453125" customWidth="1"/>
    <col min="7" max="7" width="13.81640625" customWidth="1"/>
    <col min="8" max="8" width="15.6328125" bestFit="1" customWidth="1"/>
  </cols>
  <sheetData>
    <row r="1" spans="1:8" x14ac:dyDescent="0.35">
      <c r="A1" s="24" t="s">
        <v>0</v>
      </c>
      <c r="B1" s="24" t="s">
        <v>1</v>
      </c>
      <c r="C1" s="24" t="s">
        <v>2</v>
      </c>
      <c r="D1" s="24" t="s">
        <v>124</v>
      </c>
      <c r="E1" s="24" t="s">
        <v>95</v>
      </c>
      <c r="F1" s="24" t="s">
        <v>96</v>
      </c>
      <c r="G1" s="24" t="s">
        <v>133</v>
      </c>
      <c r="H1" s="24" t="s">
        <v>3</v>
      </c>
    </row>
    <row r="2" spans="1:8" x14ac:dyDescent="0.35">
      <c r="A2" s="25" t="s">
        <v>4</v>
      </c>
      <c r="B2" s="25" t="s">
        <v>5</v>
      </c>
      <c r="C2" s="37" t="s">
        <v>6</v>
      </c>
      <c r="D2" s="27" t="s">
        <v>7</v>
      </c>
      <c r="E2" s="27">
        <v>9986205978</v>
      </c>
      <c r="F2" s="27">
        <v>8722385392</v>
      </c>
      <c r="G2" s="26"/>
      <c r="H2" s="28"/>
    </row>
    <row r="3" spans="1:8" x14ac:dyDescent="0.35">
      <c r="A3" s="25" t="s">
        <v>4</v>
      </c>
      <c r="B3" s="25" t="s">
        <v>8</v>
      </c>
      <c r="C3" s="37" t="s">
        <v>9</v>
      </c>
      <c r="D3" s="27" t="s">
        <v>7</v>
      </c>
      <c r="E3" s="27">
        <v>9986205978</v>
      </c>
      <c r="F3" s="27">
        <v>8722385392</v>
      </c>
      <c r="G3" s="26"/>
      <c r="H3" s="28"/>
    </row>
    <row r="4" spans="1:8" x14ac:dyDescent="0.35">
      <c r="A4" s="25" t="s">
        <v>4</v>
      </c>
      <c r="B4" s="25" t="s">
        <v>10</v>
      </c>
      <c r="C4" s="37" t="s">
        <v>11</v>
      </c>
      <c r="D4" s="27" t="s">
        <v>7</v>
      </c>
      <c r="E4" s="27">
        <v>9986205978</v>
      </c>
      <c r="F4" s="27">
        <v>8722385392</v>
      </c>
      <c r="G4" s="29"/>
      <c r="H4" s="28"/>
    </row>
    <row r="5" spans="1:8" x14ac:dyDescent="0.35">
      <c r="A5" s="25" t="s">
        <v>4</v>
      </c>
      <c r="B5" s="25" t="s">
        <v>12</v>
      </c>
      <c r="C5" s="37" t="s">
        <v>13</v>
      </c>
      <c r="D5" s="27" t="s">
        <v>7</v>
      </c>
      <c r="E5" s="27">
        <v>9986205978</v>
      </c>
      <c r="F5" s="27">
        <v>8722385392</v>
      </c>
      <c r="G5" s="26"/>
      <c r="H5" s="28"/>
    </row>
    <row r="6" spans="1:8" x14ac:dyDescent="0.35">
      <c r="A6" s="25" t="s">
        <v>4</v>
      </c>
      <c r="B6" s="25" t="s">
        <v>14</v>
      </c>
      <c r="C6" s="37" t="s">
        <v>15</v>
      </c>
      <c r="D6" s="27" t="s">
        <v>7</v>
      </c>
      <c r="E6" s="27">
        <v>9986205978</v>
      </c>
      <c r="F6" s="27">
        <v>9939200669</v>
      </c>
      <c r="G6" s="26"/>
      <c r="H6" s="28"/>
    </row>
    <row r="7" spans="1:8" x14ac:dyDescent="0.35">
      <c r="A7" s="25" t="s">
        <v>4</v>
      </c>
      <c r="B7" s="25" t="s">
        <v>16</v>
      </c>
      <c r="C7" s="37" t="s">
        <v>17</v>
      </c>
      <c r="D7" s="27" t="s">
        <v>7</v>
      </c>
      <c r="E7" s="27">
        <v>9986205978</v>
      </c>
      <c r="F7" s="27">
        <v>9939200669</v>
      </c>
      <c r="G7" s="26"/>
      <c r="H7" s="28"/>
    </row>
    <row r="8" spans="1:8" x14ac:dyDescent="0.35">
      <c r="A8" s="25" t="s">
        <v>4</v>
      </c>
      <c r="B8" s="25" t="s">
        <v>18</v>
      </c>
      <c r="C8" s="37" t="s">
        <v>19</v>
      </c>
      <c r="D8" s="27" t="s">
        <v>7</v>
      </c>
      <c r="E8" s="27">
        <v>8722385392</v>
      </c>
      <c r="F8" s="27">
        <v>9986205978</v>
      </c>
      <c r="G8" s="26"/>
      <c r="H8" s="28"/>
    </row>
    <row r="9" spans="1:8" x14ac:dyDescent="0.35">
      <c r="A9" s="25" t="s">
        <v>4</v>
      </c>
      <c r="B9" s="25" t="s">
        <v>20</v>
      </c>
      <c r="C9" s="37" t="s">
        <v>21</v>
      </c>
      <c r="D9" s="27" t="s">
        <v>7</v>
      </c>
      <c r="E9" s="27">
        <v>8722385392</v>
      </c>
      <c r="F9" s="27">
        <v>9986205978</v>
      </c>
      <c r="G9" s="26"/>
      <c r="H9" s="28"/>
    </row>
    <row r="10" spans="1:8" x14ac:dyDescent="0.35">
      <c r="A10" s="25" t="s">
        <v>4</v>
      </c>
      <c r="B10" s="25" t="s">
        <v>22</v>
      </c>
      <c r="C10" s="37" t="s">
        <v>23</v>
      </c>
      <c r="D10" s="27" t="s">
        <v>7</v>
      </c>
      <c r="E10" s="27">
        <v>9939200669</v>
      </c>
      <c r="F10" s="27">
        <v>9986205978</v>
      </c>
      <c r="G10" s="26"/>
      <c r="H10" s="28"/>
    </row>
    <row r="11" spans="1:8" x14ac:dyDescent="0.35">
      <c r="A11" s="25" t="s">
        <v>4</v>
      </c>
      <c r="B11" s="25" t="s">
        <v>24</v>
      </c>
      <c r="C11" s="37" t="s">
        <v>25</v>
      </c>
      <c r="D11" s="27" t="s">
        <v>7</v>
      </c>
      <c r="E11" s="27">
        <v>8722385392</v>
      </c>
      <c r="F11" s="27">
        <v>9986205978</v>
      </c>
      <c r="G11" s="26"/>
      <c r="H11" s="28"/>
    </row>
    <row r="12" spans="1:8" x14ac:dyDescent="0.35">
      <c r="A12" s="25" t="s">
        <v>26</v>
      </c>
      <c r="B12" s="25" t="s">
        <v>27</v>
      </c>
      <c r="C12" s="37" t="s">
        <v>28</v>
      </c>
      <c r="D12" s="27" t="s">
        <v>7</v>
      </c>
      <c r="E12" s="27">
        <v>9986205978</v>
      </c>
      <c r="F12" s="27"/>
      <c r="G12" s="26"/>
      <c r="H12" s="28"/>
    </row>
    <row r="13" spans="1:8" x14ac:dyDescent="0.35">
      <c r="A13" s="25" t="s">
        <v>26</v>
      </c>
      <c r="B13" s="25" t="s">
        <v>29</v>
      </c>
      <c r="C13" s="37" t="s">
        <v>30</v>
      </c>
      <c r="D13" s="27" t="s">
        <v>7</v>
      </c>
      <c r="E13" s="27">
        <v>9986205978</v>
      </c>
      <c r="F13" s="27"/>
      <c r="G13" s="26"/>
      <c r="H13" s="28"/>
    </row>
    <row r="14" spans="1:8" x14ac:dyDescent="0.35">
      <c r="A14" s="25" t="s">
        <v>26</v>
      </c>
      <c r="B14" s="25" t="s">
        <v>31</v>
      </c>
      <c r="C14" s="37" t="s">
        <v>32</v>
      </c>
      <c r="D14" s="27" t="s">
        <v>7</v>
      </c>
      <c r="E14" s="27">
        <v>9986205978</v>
      </c>
      <c r="F14" s="27"/>
      <c r="G14" s="26"/>
      <c r="H14" s="28"/>
    </row>
    <row r="15" spans="1:8" x14ac:dyDescent="0.35">
      <c r="A15" s="25" t="s">
        <v>26</v>
      </c>
      <c r="B15" s="25" t="s">
        <v>33</v>
      </c>
      <c r="C15" s="37" t="s">
        <v>34</v>
      </c>
      <c r="D15" s="27" t="s">
        <v>7</v>
      </c>
      <c r="E15" s="27">
        <v>9986205978</v>
      </c>
      <c r="F15" s="27"/>
      <c r="G15" s="26"/>
      <c r="H15" s="28"/>
    </row>
    <row r="16" spans="1:8" x14ac:dyDescent="0.35">
      <c r="A16" s="25" t="s">
        <v>35</v>
      </c>
      <c r="B16" s="25" t="s">
        <v>36</v>
      </c>
      <c r="C16" s="37" t="s">
        <v>155</v>
      </c>
      <c r="D16" s="27" t="s">
        <v>7</v>
      </c>
      <c r="E16" s="27">
        <v>9986205978</v>
      </c>
      <c r="F16" s="26"/>
      <c r="G16" s="26"/>
      <c r="H16" s="28"/>
    </row>
    <row r="17" spans="1:8" x14ac:dyDescent="0.35">
      <c r="A17" s="25" t="s">
        <v>35</v>
      </c>
      <c r="B17" s="25" t="s">
        <v>37</v>
      </c>
      <c r="C17" s="40" t="s">
        <v>38</v>
      </c>
      <c r="D17" s="27" t="s">
        <v>57</v>
      </c>
      <c r="E17" s="27">
        <v>9986205978</v>
      </c>
      <c r="F17" s="26"/>
      <c r="G17" s="26"/>
      <c r="H17" s="28"/>
    </row>
    <row r="18" spans="1:8" x14ac:dyDescent="0.35">
      <c r="A18" s="25" t="s">
        <v>39</v>
      </c>
      <c r="B18" s="25" t="s">
        <v>40</v>
      </c>
      <c r="C18" s="37" t="s">
        <v>41</v>
      </c>
      <c r="D18" s="27" t="s">
        <v>7</v>
      </c>
      <c r="E18" s="27">
        <v>9986205978</v>
      </c>
      <c r="F18" s="26"/>
      <c r="G18" s="26"/>
      <c r="H18" s="28"/>
    </row>
    <row r="19" spans="1:8" x14ac:dyDescent="0.35">
      <c r="A19" s="25" t="s">
        <v>42</v>
      </c>
      <c r="B19" s="25" t="s">
        <v>43</v>
      </c>
      <c r="C19" s="37" t="s">
        <v>44</v>
      </c>
      <c r="D19" s="27" t="s">
        <v>7</v>
      </c>
      <c r="E19" s="27">
        <v>9986205978</v>
      </c>
      <c r="F19" s="27">
        <v>8722385392</v>
      </c>
      <c r="G19" s="26"/>
      <c r="H19" s="28"/>
    </row>
    <row r="20" spans="1:8" ht="24" x14ac:dyDescent="0.35">
      <c r="A20" s="25" t="s">
        <v>45</v>
      </c>
      <c r="B20" s="25" t="s">
        <v>46</v>
      </c>
      <c r="C20" s="41" t="s">
        <v>47</v>
      </c>
      <c r="D20" s="27"/>
      <c r="E20" s="27">
        <v>9986205978</v>
      </c>
      <c r="F20" s="27">
        <v>8722385392</v>
      </c>
      <c r="G20" s="42">
        <v>9620902766</v>
      </c>
      <c r="H20" s="29" t="s">
        <v>168</v>
      </c>
    </row>
    <row r="21" spans="1:8" x14ac:dyDescent="0.35">
      <c r="A21" s="25" t="s">
        <v>48</v>
      </c>
      <c r="B21" s="25" t="s">
        <v>49</v>
      </c>
      <c r="C21" s="40" t="s">
        <v>50</v>
      </c>
      <c r="D21" s="27"/>
      <c r="E21" s="26"/>
      <c r="F21" s="26"/>
      <c r="G21" s="26"/>
      <c r="H21" s="28"/>
    </row>
    <row r="22" spans="1:8" x14ac:dyDescent="0.35">
      <c r="A22" s="25" t="s">
        <v>42</v>
      </c>
      <c r="B22" s="25" t="s">
        <v>51</v>
      </c>
      <c r="C22" s="40" t="s">
        <v>52</v>
      </c>
      <c r="D22" s="27"/>
      <c r="E22" s="26"/>
      <c r="F22" s="26"/>
      <c r="G22" s="26"/>
      <c r="H22" s="28"/>
    </row>
    <row r="23" spans="1:8" x14ac:dyDescent="0.35">
      <c r="A23" s="25" t="s">
        <v>42</v>
      </c>
      <c r="B23" s="25" t="s">
        <v>53</v>
      </c>
      <c r="C23" s="40" t="s">
        <v>54</v>
      </c>
      <c r="D23" s="27"/>
      <c r="E23" s="26"/>
      <c r="F23" s="26"/>
      <c r="G23" s="26"/>
      <c r="H23" s="28"/>
    </row>
    <row r="24" spans="1:8" x14ac:dyDescent="0.35">
      <c r="A24" s="25" t="s">
        <v>42</v>
      </c>
      <c r="B24" s="25" t="s">
        <v>55</v>
      </c>
      <c r="C24" s="40" t="s">
        <v>56</v>
      </c>
      <c r="D24" s="27"/>
      <c r="E24" s="26"/>
      <c r="F24" s="26"/>
      <c r="G24" s="26"/>
      <c r="H24" s="28"/>
    </row>
    <row r="25" spans="1:8" x14ac:dyDescent="0.35">
      <c r="A25" s="25" t="s">
        <v>42</v>
      </c>
      <c r="B25" s="25" t="s">
        <v>58</v>
      </c>
      <c r="C25" s="40" t="s">
        <v>59</v>
      </c>
      <c r="D25" s="27"/>
      <c r="E25" s="32"/>
      <c r="F25" s="26"/>
      <c r="G25" s="31"/>
      <c r="H25" s="28"/>
    </row>
    <row r="26" spans="1:8" x14ac:dyDescent="0.35">
      <c r="A26" s="25" t="s">
        <v>42</v>
      </c>
      <c r="B26" s="25" t="s">
        <v>60</v>
      </c>
      <c r="C26" s="40" t="s">
        <v>61</v>
      </c>
      <c r="D26" s="27"/>
      <c r="E26" s="26"/>
      <c r="F26" s="32"/>
      <c r="G26" s="31"/>
      <c r="H26" s="28"/>
    </row>
    <row r="27" spans="1:8" x14ac:dyDescent="0.35">
      <c r="A27" s="25" t="s">
        <v>42</v>
      </c>
      <c r="B27" s="25" t="s">
        <v>62</v>
      </c>
      <c r="C27" s="40" t="s">
        <v>63</v>
      </c>
      <c r="D27" s="27"/>
      <c r="E27" s="32"/>
      <c r="F27" s="26"/>
      <c r="G27" s="31"/>
      <c r="H27" s="28"/>
    </row>
    <row r="28" spans="1:8" x14ac:dyDescent="0.35">
      <c r="A28" s="25" t="s">
        <v>64</v>
      </c>
      <c r="B28" s="25" t="s">
        <v>65</v>
      </c>
      <c r="C28" s="30" t="s">
        <v>66</v>
      </c>
      <c r="D28" s="27" t="s">
        <v>169</v>
      </c>
      <c r="E28" s="29"/>
      <c r="F28" s="30"/>
      <c r="G28" s="30"/>
      <c r="H28" s="28"/>
    </row>
    <row r="29" spans="1:8" x14ac:dyDescent="0.35">
      <c r="A29" s="25" t="s">
        <v>64</v>
      </c>
      <c r="B29" s="25" t="s">
        <v>67</v>
      </c>
      <c r="C29" s="30" t="s">
        <v>68</v>
      </c>
      <c r="D29" s="27" t="s">
        <v>169</v>
      </c>
      <c r="E29" s="30"/>
      <c r="F29" s="30"/>
      <c r="G29" s="30"/>
      <c r="H29" s="28"/>
    </row>
    <row r="30" spans="1:8" x14ac:dyDescent="0.35">
      <c r="A30" s="27" t="s">
        <v>69</v>
      </c>
      <c r="B30" s="25" t="s">
        <v>70</v>
      </c>
      <c r="C30" s="30" t="s">
        <v>71</v>
      </c>
      <c r="D30" s="27"/>
      <c r="E30" s="32"/>
      <c r="F30" s="32"/>
      <c r="G30" s="30"/>
      <c r="H30" s="28"/>
    </row>
    <row r="31" spans="1:8" x14ac:dyDescent="0.35">
      <c r="A31" s="27" t="s">
        <v>69</v>
      </c>
      <c r="B31" s="25" t="s">
        <v>70</v>
      </c>
      <c r="C31" s="30" t="s">
        <v>72</v>
      </c>
      <c r="D31" s="27"/>
      <c r="E31" s="32"/>
      <c r="F31" s="32"/>
      <c r="G31" s="30"/>
      <c r="H31" s="28"/>
    </row>
    <row r="32" spans="1:8" x14ac:dyDescent="0.35">
      <c r="A32" s="27" t="s">
        <v>69</v>
      </c>
      <c r="B32" s="25" t="s">
        <v>70</v>
      </c>
      <c r="C32" s="30" t="s">
        <v>73</v>
      </c>
      <c r="D32" s="27"/>
      <c r="E32" s="32"/>
      <c r="F32" s="32"/>
      <c r="G32" s="30"/>
      <c r="H32" s="28"/>
    </row>
    <row r="33" spans="1:8" x14ac:dyDescent="0.35">
      <c r="A33" s="27" t="s">
        <v>69</v>
      </c>
      <c r="B33" s="25" t="s">
        <v>70</v>
      </c>
      <c r="C33" s="30" t="s">
        <v>74</v>
      </c>
      <c r="D33" s="27"/>
      <c r="E33" s="32"/>
      <c r="F33" s="32"/>
      <c r="G33" s="30"/>
      <c r="H33" s="28"/>
    </row>
    <row r="34" spans="1:8" x14ac:dyDescent="0.35">
      <c r="A34" s="27" t="s">
        <v>75</v>
      </c>
      <c r="B34" s="25" t="s">
        <v>76</v>
      </c>
      <c r="C34" s="30" t="s">
        <v>77</v>
      </c>
      <c r="D34" s="27" t="s">
        <v>7</v>
      </c>
      <c r="E34" s="30"/>
      <c r="F34" s="30"/>
      <c r="G34" s="30"/>
      <c r="H34" s="29" t="s">
        <v>132</v>
      </c>
    </row>
    <row r="35" spans="1:8" x14ac:dyDescent="0.35">
      <c r="A35" s="27" t="s">
        <v>75</v>
      </c>
      <c r="B35" s="25" t="s">
        <v>78</v>
      </c>
      <c r="C35" s="30" t="s">
        <v>79</v>
      </c>
      <c r="D35" s="27" t="s">
        <v>7</v>
      </c>
      <c r="E35" s="30"/>
      <c r="F35" s="30"/>
      <c r="G35" s="30"/>
      <c r="H35" s="29" t="s">
        <v>132</v>
      </c>
    </row>
    <row r="36" spans="1:8" x14ac:dyDescent="0.35">
      <c r="A36" s="27" t="s">
        <v>80</v>
      </c>
      <c r="B36" s="25" t="s">
        <v>81</v>
      </c>
      <c r="C36" s="30" t="s">
        <v>82</v>
      </c>
      <c r="D36" s="27"/>
      <c r="E36" s="30"/>
      <c r="F36" s="30"/>
      <c r="G36" s="30"/>
      <c r="H36" s="28"/>
    </row>
    <row r="37" spans="1:8" x14ac:dyDescent="0.35">
      <c r="A37" s="27" t="s">
        <v>80</v>
      </c>
      <c r="B37" s="25" t="s">
        <v>83</v>
      </c>
      <c r="C37" s="30" t="s">
        <v>84</v>
      </c>
      <c r="D37" s="27"/>
      <c r="E37" s="30"/>
      <c r="F37" s="30"/>
      <c r="G37" s="30"/>
      <c r="H37" s="28"/>
    </row>
    <row r="38" spans="1:8" x14ac:dyDescent="0.35">
      <c r="A38" s="27" t="s">
        <v>80</v>
      </c>
      <c r="B38" s="25" t="s">
        <v>85</v>
      </c>
      <c r="C38" s="30" t="s">
        <v>86</v>
      </c>
      <c r="D38" s="27"/>
      <c r="E38" s="30"/>
      <c r="F38" s="30"/>
      <c r="G38" s="30"/>
      <c r="H38" s="28"/>
    </row>
    <row r="39" spans="1:8" x14ac:dyDescent="0.35">
      <c r="A39" s="27" t="s">
        <v>80</v>
      </c>
      <c r="B39" s="25" t="s">
        <v>87</v>
      </c>
      <c r="C39" s="30" t="s">
        <v>88</v>
      </c>
      <c r="D39" s="27"/>
      <c r="E39" s="30"/>
      <c r="F39" s="30"/>
      <c r="G39" s="30"/>
      <c r="H39" s="28"/>
    </row>
    <row r="40" spans="1:8" x14ac:dyDescent="0.35">
      <c r="A40" s="27" t="s">
        <v>80</v>
      </c>
      <c r="B40" s="25" t="s">
        <v>89</v>
      </c>
      <c r="C40" s="30" t="s">
        <v>82</v>
      </c>
      <c r="D40" s="27"/>
      <c r="E40" s="30"/>
      <c r="F40" s="30"/>
      <c r="G40" s="30"/>
      <c r="H40" s="28"/>
    </row>
    <row r="41" spans="1:8" x14ac:dyDescent="0.35">
      <c r="A41" s="27" t="s">
        <v>80</v>
      </c>
      <c r="B41" s="25" t="s">
        <v>90</v>
      </c>
      <c r="C41" s="30" t="s">
        <v>84</v>
      </c>
      <c r="D41" s="27"/>
      <c r="E41" s="30"/>
      <c r="F41" s="30"/>
      <c r="G41" s="30"/>
      <c r="H41" s="28"/>
    </row>
    <row r="42" spans="1:8" x14ac:dyDescent="0.35">
      <c r="A42" s="27" t="s">
        <v>80</v>
      </c>
      <c r="B42" s="25" t="s">
        <v>91</v>
      </c>
      <c r="C42" s="30" t="s">
        <v>86</v>
      </c>
      <c r="D42" s="27"/>
      <c r="E42" s="30"/>
      <c r="F42" s="30"/>
      <c r="G42" s="30"/>
      <c r="H42" s="28"/>
    </row>
    <row r="43" spans="1:8" x14ac:dyDescent="0.35">
      <c r="A43" s="27" t="s">
        <v>80</v>
      </c>
      <c r="B43" s="25" t="s">
        <v>92</v>
      </c>
      <c r="C43" s="30" t="s">
        <v>88</v>
      </c>
      <c r="D43" s="27"/>
      <c r="E43" s="30"/>
      <c r="F43" s="30"/>
      <c r="G43" s="30"/>
      <c r="H43" s="28"/>
    </row>
    <row r="44" spans="1:8" x14ac:dyDescent="0.35">
      <c r="A44" s="27" t="s">
        <v>141</v>
      </c>
      <c r="B44" s="27" t="s">
        <v>142</v>
      </c>
      <c r="C44" s="39" t="s">
        <v>156</v>
      </c>
      <c r="D44" s="27"/>
      <c r="E44" s="38"/>
      <c r="F44" s="27"/>
      <c r="G44" s="27"/>
      <c r="H44" s="28"/>
    </row>
    <row r="45" spans="1:8" x14ac:dyDescent="0.35">
      <c r="A45" s="27" t="s">
        <v>141</v>
      </c>
      <c r="B45" s="27" t="s">
        <v>143</v>
      </c>
      <c r="C45" s="39" t="s">
        <v>157</v>
      </c>
      <c r="D45" s="27"/>
      <c r="E45" s="32"/>
      <c r="F45" s="32"/>
      <c r="G45" s="27"/>
      <c r="H45" s="28"/>
    </row>
    <row r="46" spans="1:8" x14ac:dyDescent="0.35">
      <c r="A46" s="27" t="s">
        <v>141</v>
      </c>
      <c r="B46" s="27" t="s">
        <v>144</v>
      </c>
      <c r="C46" s="39" t="s">
        <v>158</v>
      </c>
      <c r="D46" s="27"/>
      <c r="E46" s="32"/>
      <c r="F46" s="32"/>
      <c r="G46" s="27"/>
      <c r="H46" s="28"/>
    </row>
    <row r="47" spans="1:8" x14ac:dyDescent="0.35">
      <c r="A47" s="27" t="s">
        <v>141</v>
      </c>
      <c r="B47" s="27" t="s">
        <v>145</v>
      </c>
      <c r="C47" s="39" t="s">
        <v>159</v>
      </c>
      <c r="D47" s="27"/>
      <c r="E47" s="32"/>
      <c r="F47" s="32"/>
      <c r="G47" s="27"/>
      <c r="H47" s="28"/>
    </row>
    <row r="48" spans="1:8" x14ac:dyDescent="0.35">
      <c r="A48" s="27" t="s">
        <v>141</v>
      </c>
      <c r="B48" s="27" t="s">
        <v>146</v>
      </c>
      <c r="C48" s="39" t="s">
        <v>160</v>
      </c>
      <c r="D48" s="27"/>
      <c r="E48" s="32"/>
      <c r="F48" s="32"/>
      <c r="G48" s="32"/>
      <c r="H48" s="28"/>
    </row>
    <row r="49" spans="1:8" x14ac:dyDescent="0.35">
      <c r="A49" s="27" t="s">
        <v>141</v>
      </c>
      <c r="B49" s="27" t="s">
        <v>147</v>
      </c>
      <c r="C49" s="39" t="s">
        <v>161</v>
      </c>
      <c r="D49" s="27"/>
      <c r="E49" s="32"/>
      <c r="F49" s="32"/>
      <c r="G49" s="27"/>
      <c r="H49" s="28"/>
    </row>
    <row r="50" spans="1:8" x14ac:dyDescent="0.35">
      <c r="A50" s="27" t="s">
        <v>141</v>
      </c>
      <c r="B50" s="27" t="s">
        <v>148</v>
      </c>
      <c r="C50" s="39" t="s">
        <v>162</v>
      </c>
      <c r="D50" s="27"/>
      <c r="E50" s="32"/>
      <c r="F50" s="32"/>
      <c r="G50" s="27"/>
      <c r="H50" s="28"/>
    </row>
    <row r="51" spans="1:8" x14ac:dyDescent="0.35">
      <c r="A51" s="27" t="s">
        <v>141</v>
      </c>
      <c r="B51" s="27" t="s">
        <v>149</v>
      </c>
      <c r="C51" s="39" t="s">
        <v>163</v>
      </c>
      <c r="D51" s="27"/>
      <c r="E51" s="32"/>
      <c r="F51" s="32"/>
      <c r="G51" s="27"/>
      <c r="H51" s="28"/>
    </row>
    <row r="52" spans="1:8" x14ac:dyDescent="0.35">
      <c r="A52" s="27" t="s">
        <v>141</v>
      </c>
      <c r="B52" s="27" t="s">
        <v>150</v>
      </c>
      <c r="C52" s="39" t="s">
        <v>164</v>
      </c>
      <c r="D52" s="27"/>
      <c r="E52" s="32"/>
      <c r="F52" s="32"/>
      <c r="G52" s="27"/>
      <c r="H52" s="28"/>
    </row>
    <row r="53" spans="1:8" x14ac:dyDescent="0.35">
      <c r="A53" s="27" t="s">
        <v>141</v>
      </c>
      <c r="B53" s="27" t="s">
        <v>151</v>
      </c>
      <c r="C53" s="39" t="s">
        <v>165</v>
      </c>
      <c r="D53" s="27"/>
      <c r="E53" s="32"/>
      <c r="F53" s="32"/>
      <c r="G53" s="27"/>
      <c r="H53" s="28"/>
    </row>
    <row r="54" spans="1:8" x14ac:dyDescent="0.35">
      <c r="A54" s="27" t="s">
        <v>141</v>
      </c>
      <c r="B54" s="27" t="s">
        <v>152</v>
      </c>
      <c r="C54" s="39" t="s">
        <v>166</v>
      </c>
      <c r="D54" s="27"/>
      <c r="E54" s="32"/>
      <c r="F54" s="32"/>
      <c r="G54" s="27"/>
      <c r="H54" s="28"/>
    </row>
    <row r="55" spans="1:8" x14ac:dyDescent="0.35">
      <c r="A55" s="27" t="s">
        <v>141</v>
      </c>
      <c r="B55" s="27" t="s">
        <v>153</v>
      </c>
      <c r="C55" s="39" t="s">
        <v>167</v>
      </c>
      <c r="D55" s="27"/>
      <c r="E55" s="32"/>
      <c r="F55" s="32"/>
      <c r="G55" s="27"/>
      <c r="H55" s="28"/>
    </row>
  </sheetData>
  <conditionalFormatting sqref="G5:G27 C2:C43">
    <cfRule type="expression" dxfId="7" priority="76" stopIfTrue="1">
      <formula>#REF!="P"</formula>
    </cfRule>
  </conditionalFormatting>
  <conditionalFormatting sqref="E21:F27 F16:F18">
    <cfRule type="expression" dxfId="6" priority="3" stopIfTrue="1">
      <formula>#REF!="P"</formula>
    </cfRule>
  </conditionalFormatting>
  <conditionalFormatting sqref="E45:F55">
    <cfRule type="expression" dxfId="5" priority="1" stopIfTrue="1">
      <formula>#REF!="P"</formula>
    </cfRule>
  </conditionalFormatting>
  <conditionalFormatting sqref="E29:G43">
    <cfRule type="expression" dxfId="4" priority="5" stopIfTrue="1">
      <formula>#REF!="P"</formula>
    </cfRule>
  </conditionalFormatting>
  <conditionalFormatting sqref="F16:F18">
    <cfRule type="expression" dxfId="3" priority="23" stopIfTrue="1">
      <formula>#REF!="P"</formula>
    </cfRule>
  </conditionalFormatting>
  <conditionalFormatting sqref="F28:G28">
    <cfRule type="expression" dxfId="2" priority="155" stopIfTrue="1">
      <formula>#REF!="P"</formula>
    </cfRule>
  </conditionalFormatting>
  <conditionalFormatting sqref="G2:G3">
    <cfRule type="expression" dxfId="1" priority="45" stopIfTrue="1">
      <formula>#REF!="P"</formula>
    </cfRule>
  </conditionalFormatting>
  <conditionalFormatting sqref="G48">
    <cfRule type="expression" dxfId="0" priority="25" stopIfTrue="1">
      <formula>#REF!="P"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AB3E-CCF0-410F-8041-9DA29EB734C6}">
  <sheetPr filterMode="1"/>
  <dimension ref="A1:L49"/>
  <sheetViews>
    <sheetView workbookViewId="0">
      <selection activeCell="D49" sqref="D49"/>
    </sheetView>
  </sheetViews>
  <sheetFormatPr defaultRowHeight="14.5" x14ac:dyDescent="0.35"/>
  <cols>
    <col min="3" max="3" width="11.7265625" customWidth="1"/>
    <col min="4" max="4" width="22.90625" style="18" customWidth="1"/>
    <col min="5" max="5" width="8.90625" bestFit="1" customWidth="1"/>
    <col min="6" max="6" width="12.26953125" bestFit="1" customWidth="1"/>
    <col min="7" max="7" width="12.26953125" customWidth="1"/>
    <col min="9" max="9" width="41" customWidth="1"/>
    <col min="10" max="10" width="28.90625" customWidth="1"/>
  </cols>
  <sheetData>
    <row r="1" spans="1:12" x14ac:dyDescent="0.35">
      <c r="A1" s="3" t="s">
        <v>97</v>
      </c>
      <c r="B1" s="3" t="s">
        <v>98</v>
      </c>
      <c r="C1" s="3" t="s">
        <v>99</v>
      </c>
      <c r="D1" s="4" t="s">
        <v>100</v>
      </c>
      <c r="E1" s="3" t="s">
        <v>101</v>
      </c>
      <c r="F1" s="3" t="s">
        <v>102</v>
      </c>
      <c r="G1" s="3"/>
      <c r="H1" s="3" t="s">
        <v>103</v>
      </c>
      <c r="I1" s="3" t="s">
        <v>104</v>
      </c>
      <c r="J1" s="3" t="s">
        <v>105</v>
      </c>
    </row>
    <row r="2" spans="1:12" hidden="1" x14ac:dyDescent="0.35">
      <c r="A2" s="2">
        <v>1</v>
      </c>
      <c r="B2" s="2" t="s">
        <v>106</v>
      </c>
      <c r="C2" s="5">
        <v>9672005028</v>
      </c>
      <c r="D2" s="6">
        <v>404604770207760</v>
      </c>
      <c r="E2" s="5" t="s">
        <v>107</v>
      </c>
      <c r="F2" s="5" t="s">
        <v>108</v>
      </c>
      <c r="G2" s="5" t="s">
        <v>125</v>
      </c>
      <c r="H2" s="5" t="s">
        <v>94</v>
      </c>
      <c r="I2" s="7" t="s">
        <v>109</v>
      </c>
      <c r="J2" s="5" t="s">
        <v>110</v>
      </c>
      <c r="K2" s="8" t="s">
        <v>7</v>
      </c>
      <c r="L2" s="8" t="s">
        <v>7</v>
      </c>
    </row>
    <row r="3" spans="1:12" hidden="1" x14ac:dyDescent="0.35">
      <c r="A3" s="2">
        <v>2</v>
      </c>
      <c r="B3" s="2" t="s">
        <v>106</v>
      </c>
      <c r="C3" s="1">
        <v>9672005034</v>
      </c>
      <c r="D3" s="20">
        <v>404604770207762</v>
      </c>
      <c r="E3" s="1" t="s">
        <v>107</v>
      </c>
      <c r="F3" s="1" t="s">
        <v>108</v>
      </c>
      <c r="G3" s="1" t="s">
        <v>125</v>
      </c>
      <c r="H3" s="2" t="s">
        <v>94</v>
      </c>
      <c r="I3" s="10" t="s">
        <v>109</v>
      </c>
      <c r="J3" s="2" t="s">
        <v>110</v>
      </c>
      <c r="L3" s="11" t="s">
        <v>7</v>
      </c>
    </row>
    <row r="4" spans="1:12" hidden="1" x14ac:dyDescent="0.35">
      <c r="A4" s="5">
        <v>3</v>
      </c>
      <c r="B4" s="5" t="s">
        <v>106</v>
      </c>
      <c r="C4" s="5">
        <v>8094199250</v>
      </c>
      <c r="D4" s="6">
        <v>404604770207800</v>
      </c>
      <c r="E4" s="5" t="s">
        <v>107</v>
      </c>
      <c r="F4" s="5" t="s">
        <v>108</v>
      </c>
      <c r="G4" s="5" t="s">
        <v>125</v>
      </c>
      <c r="H4" s="5" t="s">
        <v>94</v>
      </c>
      <c r="I4" s="7" t="s">
        <v>109</v>
      </c>
      <c r="J4" s="5" t="s">
        <v>110</v>
      </c>
      <c r="K4" s="12" t="s">
        <v>111</v>
      </c>
      <c r="L4" s="12" t="s">
        <v>7</v>
      </c>
    </row>
    <row r="5" spans="1:12" x14ac:dyDescent="0.35">
      <c r="A5" s="2">
        <v>4</v>
      </c>
      <c r="B5" s="2" t="s">
        <v>106</v>
      </c>
      <c r="C5" s="1">
        <v>9610992567</v>
      </c>
      <c r="D5" s="20">
        <v>404604770207801</v>
      </c>
      <c r="E5" s="1" t="s">
        <v>107</v>
      </c>
      <c r="F5" s="1" t="s">
        <v>108</v>
      </c>
      <c r="G5" s="2" t="s">
        <v>128</v>
      </c>
      <c r="H5" s="2" t="s">
        <v>112</v>
      </c>
      <c r="I5" s="10" t="s">
        <v>113</v>
      </c>
      <c r="J5" s="2" t="s">
        <v>110</v>
      </c>
    </row>
    <row r="6" spans="1:12" x14ac:dyDescent="0.35">
      <c r="A6" s="2">
        <v>5</v>
      </c>
      <c r="B6" s="2" t="s">
        <v>106</v>
      </c>
      <c r="C6" s="1">
        <v>9828099251</v>
      </c>
      <c r="D6" s="20">
        <v>404604770207806</v>
      </c>
      <c r="E6" s="1" t="s">
        <v>107</v>
      </c>
      <c r="F6" s="1" t="s">
        <v>108</v>
      </c>
      <c r="G6" s="2" t="s">
        <v>129</v>
      </c>
      <c r="H6" s="2" t="s">
        <v>112</v>
      </c>
      <c r="I6" s="10" t="s">
        <v>113</v>
      </c>
      <c r="J6" s="2" t="s">
        <v>110</v>
      </c>
    </row>
    <row r="7" spans="1:12" hidden="1" x14ac:dyDescent="0.35">
      <c r="A7" s="2">
        <v>6</v>
      </c>
      <c r="B7" s="2" t="s">
        <v>106</v>
      </c>
      <c r="C7" s="1">
        <v>9610015250</v>
      </c>
      <c r="D7" s="9">
        <v>404604770127814</v>
      </c>
      <c r="E7" s="1" t="s">
        <v>107</v>
      </c>
      <c r="F7" s="1" t="s">
        <v>108</v>
      </c>
      <c r="G7" s="2" t="s">
        <v>125</v>
      </c>
      <c r="H7" s="2" t="s">
        <v>93</v>
      </c>
      <c r="I7" s="10" t="s">
        <v>114</v>
      </c>
      <c r="J7" s="2" t="s">
        <v>110</v>
      </c>
    </row>
    <row r="8" spans="1:12" hidden="1" x14ac:dyDescent="0.35">
      <c r="A8" s="2">
        <v>7</v>
      </c>
      <c r="B8" s="2" t="s">
        <v>106</v>
      </c>
      <c r="C8" s="1">
        <v>9610015231</v>
      </c>
      <c r="D8" s="9">
        <v>404604770127811</v>
      </c>
      <c r="E8" s="2" t="s">
        <v>107</v>
      </c>
      <c r="F8" s="2" t="s">
        <v>108</v>
      </c>
      <c r="G8" s="2" t="s">
        <v>130</v>
      </c>
      <c r="H8" s="2" t="s">
        <v>93</v>
      </c>
      <c r="I8" s="10" t="s">
        <v>114</v>
      </c>
      <c r="J8" s="2" t="s">
        <v>110</v>
      </c>
    </row>
    <row r="9" spans="1:12" hidden="1" x14ac:dyDescent="0.35">
      <c r="A9" s="2">
        <v>8</v>
      </c>
      <c r="B9" s="2" t="s">
        <v>106</v>
      </c>
      <c r="C9" s="1">
        <v>9828183789</v>
      </c>
      <c r="D9" s="20">
        <v>404604770231150</v>
      </c>
      <c r="E9" s="2" t="s">
        <v>107</v>
      </c>
      <c r="F9" s="2" t="s">
        <v>108</v>
      </c>
      <c r="G9" s="2" t="s">
        <v>125</v>
      </c>
      <c r="H9" s="2" t="s">
        <v>115</v>
      </c>
      <c r="I9" s="10" t="s">
        <v>116</v>
      </c>
      <c r="J9" s="2" t="s">
        <v>110</v>
      </c>
    </row>
    <row r="10" spans="1:12" hidden="1" x14ac:dyDescent="0.35">
      <c r="A10" s="2">
        <v>9</v>
      </c>
      <c r="B10" s="2" t="s">
        <v>106</v>
      </c>
      <c r="C10" s="1">
        <v>9828192789</v>
      </c>
      <c r="D10" s="9">
        <v>404604770231143</v>
      </c>
      <c r="E10" s="2" t="s">
        <v>107</v>
      </c>
      <c r="F10" s="2" t="s">
        <v>108</v>
      </c>
      <c r="G10" s="2" t="s">
        <v>130</v>
      </c>
      <c r="H10" s="2" t="s">
        <v>115</v>
      </c>
      <c r="I10" s="10" t="s">
        <v>116</v>
      </c>
      <c r="J10" s="2" t="s">
        <v>110</v>
      </c>
    </row>
    <row r="11" spans="1:12" x14ac:dyDescent="0.35">
      <c r="A11" s="2">
        <v>10</v>
      </c>
      <c r="B11" s="2" t="s">
        <v>106</v>
      </c>
      <c r="C11" s="1">
        <v>9828208789</v>
      </c>
      <c r="D11" s="20">
        <v>404604770231463</v>
      </c>
      <c r="E11" s="1" t="s">
        <v>107</v>
      </c>
      <c r="F11" s="1" t="s">
        <v>108</v>
      </c>
      <c r="G11" s="2" t="s">
        <v>130</v>
      </c>
      <c r="H11" s="2" t="s">
        <v>112</v>
      </c>
      <c r="I11" s="10" t="s">
        <v>113</v>
      </c>
      <c r="J11" s="2" t="s">
        <v>110</v>
      </c>
    </row>
    <row r="12" spans="1:12" hidden="1" x14ac:dyDescent="0.35">
      <c r="A12" s="5">
        <v>11</v>
      </c>
      <c r="B12" s="5" t="s">
        <v>106</v>
      </c>
      <c r="C12" s="5">
        <v>7733992539</v>
      </c>
      <c r="D12" s="6">
        <v>404874019805109</v>
      </c>
      <c r="E12" s="5" t="s">
        <v>117</v>
      </c>
      <c r="F12" s="5" t="s">
        <v>108</v>
      </c>
      <c r="G12" s="5" t="s">
        <v>125</v>
      </c>
      <c r="H12" s="5" t="s">
        <v>94</v>
      </c>
      <c r="I12" s="7" t="s">
        <v>118</v>
      </c>
      <c r="J12" s="5" t="s">
        <v>119</v>
      </c>
      <c r="K12" s="8" t="s">
        <v>111</v>
      </c>
      <c r="L12" s="12" t="s">
        <v>7</v>
      </c>
    </row>
    <row r="13" spans="1:12" s="16" customFormat="1" hidden="1" x14ac:dyDescent="0.35">
      <c r="A13" s="13">
        <v>12</v>
      </c>
      <c r="B13" s="13" t="s">
        <v>106</v>
      </c>
      <c r="C13" s="13">
        <v>8058219925</v>
      </c>
      <c r="D13" s="14">
        <v>404874019805555</v>
      </c>
      <c r="E13" s="13" t="s">
        <v>117</v>
      </c>
      <c r="F13" s="13" t="s">
        <v>108</v>
      </c>
      <c r="G13" s="13" t="s">
        <v>125</v>
      </c>
      <c r="H13" s="13" t="s">
        <v>94</v>
      </c>
      <c r="I13" s="15" t="s">
        <v>118</v>
      </c>
      <c r="J13" s="13" t="s">
        <v>119</v>
      </c>
      <c r="K13" s="16" t="s">
        <v>57</v>
      </c>
      <c r="L13" s="16" t="s">
        <v>7</v>
      </c>
    </row>
    <row r="14" spans="1:12" hidden="1" x14ac:dyDescent="0.35">
      <c r="A14" s="2">
        <v>13</v>
      </c>
      <c r="B14" s="2" t="s">
        <v>106</v>
      </c>
      <c r="C14" s="5">
        <v>9057129254</v>
      </c>
      <c r="D14" s="6">
        <v>404874019805578</v>
      </c>
      <c r="E14" s="5" t="s">
        <v>117</v>
      </c>
      <c r="F14" s="5" t="s">
        <v>108</v>
      </c>
      <c r="G14" s="5" t="s">
        <v>125</v>
      </c>
      <c r="H14" s="5" t="s">
        <v>94</v>
      </c>
      <c r="I14" s="7" t="s">
        <v>118</v>
      </c>
      <c r="J14" s="5" t="s">
        <v>119</v>
      </c>
      <c r="K14" s="17"/>
      <c r="L14" s="11" t="s">
        <v>7</v>
      </c>
    </row>
    <row r="15" spans="1:12" x14ac:dyDescent="0.35">
      <c r="A15" s="2">
        <v>14</v>
      </c>
      <c r="B15" s="2" t="s">
        <v>106</v>
      </c>
      <c r="C15" s="13">
        <v>9694001039</v>
      </c>
      <c r="D15" s="14">
        <v>404874019805599</v>
      </c>
      <c r="E15" s="13" t="s">
        <v>117</v>
      </c>
      <c r="F15" s="13" t="s">
        <v>108</v>
      </c>
      <c r="G15" s="2" t="s">
        <v>128</v>
      </c>
      <c r="H15" s="2" t="s">
        <v>112</v>
      </c>
      <c r="I15" s="10" t="s">
        <v>120</v>
      </c>
      <c r="J15" s="2" t="s">
        <v>119</v>
      </c>
    </row>
    <row r="16" spans="1:12" x14ac:dyDescent="0.35">
      <c r="A16" s="2">
        <v>15</v>
      </c>
      <c r="B16" s="2" t="s">
        <v>106</v>
      </c>
      <c r="C16" s="13">
        <v>9785003592</v>
      </c>
      <c r="D16" s="14">
        <v>404874019806476</v>
      </c>
      <c r="E16" s="13" t="s">
        <v>117</v>
      </c>
      <c r="F16" s="13" t="s">
        <v>108</v>
      </c>
      <c r="G16" s="2" t="s">
        <v>129</v>
      </c>
      <c r="H16" s="2" t="s">
        <v>112</v>
      </c>
      <c r="I16" s="10" t="s">
        <v>120</v>
      </c>
      <c r="J16" s="2" t="s">
        <v>119</v>
      </c>
    </row>
    <row r="17" spans="1:12" hidden="1" x14ac:dyDescent="0.35">
      <c r="A17" s="2">
        <v>16</v>
      </c>
      <c r="B17" s="2" t="s">
        <v>106</v>
      </c>
      <c r="C17" s="2">
        <v>9887010229</v>
      </c>
      <c r="D17" s="9">
        <v>404874013466133</v>
      </c>
      <c r="E17" s="2" t="s">
        <v>117</v>
      </c>
      <c r="F17" s="2" t="s">
        <v>108</v>
      </c>
      <c r="G17" s="2" t="s">
        <v>125</v>
      </c>
      <c r="H17" s="2" t="s">
        <v>93</v>
      </c>
      <c r="I17" s="10" t="s">
        <v>121</v>
      </c>
      <c r="J17" s="2" t="s">
        <v>119</v>
      </c>
    </row>
    <row r="18" spans="1:12" hidden="1" x14ac:dyDescent="0.35">
      <c r="A18" s="2">
        <v>17</v>
      </c>
      <c r="B18" s="2" t="s">
        <v>106</v>
      </c>
      <c r="C18" s="1">
        <v>7688992596</v>
      </c>
      <c r="D18" s="20">
        <v>404874019805098</v>
      </c>
      <c r="E18" s="1" t="s">
        <v>117</v>
      </c>
      <c r="F18" s="1" t="s">
        <v>108</v>
      </c>
      <c r="G18" s="2" t="s">
        <v>130</v>
      </c>
      <c r="H18" s="2" t="s">
        <v>93</v>
      </c>
      <c r="I18" s="10" t="s">
        <v>121</v>
      </c>
      <c r="J18" s="2" t="s">
        <v>119</v>
      </c>
    </row>
    <row r="19" spans="1:12" hidden="1" x14ac:dyDescent="0.35">
      <c r="A19" s="2">
        <v>18</v>
      </c>
      <c r="B19" s="2" t="s">
        <v>106</v>
      </c>
      <c r="C19" s="1">
        <v>9887120789</v>
      </c>
      <c r="D19" s="9">
        <v>404874113484909</v>
      </c>
      <c r="E19" s="2" t="s">
        <v>117</v>
      </c>
      <c r="F19" s="2" t="s">
        <v>108</v>
      </c>
      <c r="G19" s="2" t="s">
        <v>125</v>
      </c>
      <c r="H19" s="2" t="s">
        <v>115</v>
      </c>
      <c r="I19" s="10" t="s">
        <v>122</v>
      </c>
      <c r="J19" s="2" t="s">
        <v>119</v>
      </c>
    </row>
    <row r="20" spans="1:12" hidden="1" x14ac:dyDescent="0.35">
      <c r="A20" s="2">
        <v>19</v>
      </c>
      <c r="B20" s="2" t="s">
        <v>106</v>
      </c>
      <c r="C20" s="1">
        <v>9887121789</v>
      </c>
      <c r="D20" s="20">
        <v>404874113492798</v>
      </c>
      <c r="E20" s="2" t="s">
        <v>117</v>
      </c>
      <c r="F20" s="2" t="s">
        <v>108</v>
      </c>
      <c r="G20" s="2" t="s">
        <v>130</v>
      </c>
      <c r="H20" s="2" t="s">
        <v>115</v>
      </c>
      <c r="I20" s="10" t="s">
        <v>122</v>
      </c>
      <c r="J20" s="2" t="s">
        <v>119</v>
      </c>
    </row>
    <row r="21" spans="1:12" x14ac:dyDescent="0.35">
      <c r="A21" s="2">
        <v>20</v>
      </c>
      <c r="B21" s="2" t="s">
        <v>106</v>
      </c>
      <c r="C21" s="13">
        <v>9887129789</v>
      </c>
      <c r="D21" s="14">
        <v>404874113484639</v>
      </c>
      <c r="E21" s="13" t="s">
        <v>117</v>
      </c>
      <c r="F21" s="13" t="s">
        <v>108</v>
      </c>
      <c r="G21" s="2" t="s">
        <v>130</v>
      </c>
      <c r="H21" s="2" t="s">
        <v>112</v>
      </c>
      <c r="I21" s="10" t="s">
        <v>120</v>
      </c>
      <c r="J21" s="2" t="s">
        <v>119</v>
      </c>
    </row>
    <row r="22" spans="1:12" hidden="1" x14ac:dyDescent="0.35">
      <c r="A22" s="2">
        <v>21</v>
      </c>
      <c r="B22" s="2" t="s">
        <v>106</v>
      </c>
      <c r="C22" s="2">
        <v>9983615063</v>
      </c>
      <c r="D22" s="9">
        <v>404607108365366</v>
      </c>
      <c r="E22" s="2" t="s">
        <v>107</v>
      </c>
      <c r="F22" s="2" t="s">
        <v>123</v>
      </c>
      <c r="G22" s="2"/>
      <c r="H22" s="2" t="s">
        <v>94</v>
      </c>
      <c r="I22" s="10" t="s">
        <v>109</v>
      </c>
      <c r="J22" s="2" t="s">
        <v>110</v>
      </c>
      <c r="L22" s="11" t="s">
        <v>7</v>
      </c>
    </row>
    <row r="23" spans="1:12" hidden="1" x14ac:dyDescent="0.35">
      <c r="A23" s="2">
        <v>22</v>
      </c>
      <c r="B23" s="2" t="s">
        <v>106</v>
      </c>
      <c r="C23" s="2">
        <v>9983624964</v>
      </c>
      <c r="D23" s="9">
        <v>404607108365363</v>
      </c>
      <c r="E23" s="2" t="s">
        <v>107</v>
      </c>
      <c r="F23" s="2" t="s">
        <v>123</v>
      </c>
      <c r="G23" s="2"/>
      <c r="H23" s="2" t="s">
        <v>94</v>
      </c>
      <c r="I23" s="10" t="s">
        <v>109</v>
      </c>
      <c r="J23" s="2" t="s">
        <v>110</v>
      </c>
      <c r="L23" s="11" t="s">
        <v>7</v>
      </c>
    </row>
    <row r="24" spans="1:12" hidden="1" x14ac:dyDescent="0.35">
      <c r="A24" s="2">
        <v>23</v>
      </c>
      <c r="B24" s="2" t="s">
        <v>106</v>
      </c>
      <c r="C24" s="2">
        <v>8094145549</v>
      </c>
      <c r="D24" s="9">
        <v>404607108365423</v>
      </c>
      <c r="E24" s="2" t="s">
        <v>107</v>
      </c>
      <c r="F24" s="2" t="s">
        <v>123</v>
      </c>
      <c r="G24" s="2" t="s">
        <v>126</v>
      </c>
      <c r="H24" s="2" t="s">
        <v>94</v>
      </c>
      <c r="I24" s="10" t="s">
        <v>109</v>
      </c>
      <c r="J24" s="2" t="s">
        <v>110</v>
      </c>
      <c r="L24" s="11" t="s">
        <v>7</v>
      </c>
    </row>
    <row r="25" spans="1:12" x14ac:dyDescent="0.35">
      <c r="A25" s="2">
        <v>24</v>
      </c>
      <c r="B25" s="1" t="s">
        <v>106</v>
      </c>
      <c r="C25" s="1">
        <v>8094146432</v>
      </c>
      <c r="D25" s="20">
        <v>404607108365424</v>
      </c>
      <c r="E25" s="1" t="s">
        <v>107</v>
      </c>
      <c r="F25" s="1" t="s">
        <v>123</v>
      </c>
      <c r="G25" s="2"/>
      <c r="H25" s="2" t="s">
        <v>112</v>
      </c>
      <c r="I25" s="10" t="s">
        <v>113</v>
      </c>
      <c r="J25" s="2" t="s">
        <v>110</v>
      </c>
    </row>
    <row r="26" spans="1:12" x14ac:dyDescent="0.35">
      <c r="A26" s="2">
        <v>25</v>
      </c>
      <c r="B26" s="2" t="s">
        <v>106</v>
      </c>
      <c r="C26" s="1">
        <v>8094146703</v>
      </c>
      <c r="D26" s="20">
        <v>404607108365429</v>
      </c>
      <c r="E26" s="1" t="s">
        <v>107</v>
      </c>
      <c r="F26" s="1" t="s">
        <v>123</v>
      </c>
      <c r="G26" s="2"/>
      <c r="H26" s="2" t="s">
        <v>112</v>
      </c>
      <c r="I26" s="10" t="s">
        <v>113</v>
      </c>
      <c r="J26" s="2" t="s">
        <v>110</v>
      </c>
    </row>
    <row r="27" spans="1:12" hidden="1" x14ac:dyDescent="0.35">
      <c r="A27" s="2">
        <v>26</v>
      </c>
      <c r="B27" s="2" t="s">
        <v>106</v>
      </c>
      <c r="C27" s="19">
        <v>8696822343</v>
      </c>
      <c r="D27" s="21">
        <v>404604724476215</v>
      </c>
      <c r="E27" s="19" t="s">
        <v>107</v>
      </c>
      <c r="F27" s="2" t="s">
        <v>123</v>
      </c>
      <c r="G27" s="2"/>
      <c r="H27" s="2" t="s">
        <v>93</v>
      </c>
      <c r="I27" s="10" t="s">
        <v>114</v>
      </c>
      <c r="J27" s="2" t="s">
        <v>110</v>
      </c>
    </row>
    <row r="28" spans="1:12" hidden="1" x14ac:dyDescent="0.35">
      <c r="A28" s="2">
        <v>27</v>
      </c>
      <c r="B28" s="2" t="s">
        <v>106</v>
      </c>
      <c r="C28" s="2">
        <v>9587328876</v>
      </c>
      <c r="D28" s="9">
        <v>404607108989547</v>
      </c>
      <c r="E28" s="2" t="s">
        <v>107</v>
      </c>
      <c r="F28" s="2" t="s">
        <v>123</v>
      </c>
      <c r="G28" s="2"/>
      <c r="H28" s="2" t="s">
        <v>93</v>
      </c>
      <c r="I28" s="10" t="s">
        <v>114</v>
      </c>
      <c r="J28" s="2" t="s">
        <v>110</v>
      </c>
    </row>
    <row r="29" spans="1:12" hidden="1" x14ac:dyDescent="0.35">
      <c r="A29" s="2">
        <v>28</v>
      </c>
      <c r="B29" s="2" t="s">
        <v>106</v>
      </c>
      <c r="C29" s="19">
        <v>8696033891</v>
      </c>
      <c r="D29" s="21">
        <v>404607108989546</v>
      </c>
      <c r="E29" s="19" t="s">
        <v>107</v>
      </c>
      <c r="F29" s="19" t="s">
        <v>123</v>
      </c>
      <c r="G29" s="2" t="s">
        <v>127</v>
      </c>
      <c r="H29" s="2" t="s">
        <v>115</v>
      </c>
      <c r="I29" s="10" t="s">
        <v>116</v>
      </c>
      <c r="J29" s="2" t="s">
        <v>110</v>
      </c>
    </row>
    <row r="30" spans="1:12" hidden="1" x14ac:dyDescent="0.35">
      <c r="A30" s="2">
        <v>29</v>
      </c>
      <c r="B30" s="2" t="s">
        <v>106</v>
      </c>
      <c r="C30" s="19">
        <v>9649512198</v>
      </c>
      <c r="D30" s="21">
        <v>404607108989549</v>
      </c>
      <c r="E30" s="19" t="s">
        <v>107</v>
      </c>
      <c r="F30" s="19" t="s">
        <v>123</v>
      </c>
      <c r="G30" s="2"/>
      <c r="H30" s="2" t="s">
        <v>115</v>
      </c>
      <c r="I30" s="10" t="s">
        <v>116</v>
      </c>
      <c r="J30" s="2" t="s">
        <v>110</v>
      </c>
    </row>
    <row r="31" spans="1:12" x14ac:dyDescent="0.35">
      <c r="A31" s="2">
        <v>30</v>
      </c>
      <c r="B31" s="2" t="s">
        <v>106</v>
      </c>
      <c r="C31" s="1">
        <v>9983074357</v>
      </c>
      <c r="D31" s="20">
        <v>404607108989548</v>
      </c>
      <c r="E31" s="1" t="s">
        <v>107</v>
      </c>
      <c r="F31" s="1" t="s">
        <v>123</v>
      </c>
      <c r="G31" s="2"/>
      <c r="H31" s="2" t="s">
        <v>112</v>
      </c>
      <c r="I31" s="10" t="s">
        <v>113</v>
      </c>
      <c r="J31" s="2" t="s">
        <v>110</v>
      </c>
    </row>
    <row r="32" spans="1:12" hidden="1" x14ac:dyDescent="0.35">
      <c r="A32" s="2">
        <v>31</v>
      </c>
      <c r="B32" s="2" t="s">
        <v>106</v>
      </c>
      <c r="C32" s="2">
        <v>9785253524</v>
      </c>
      <c r="D32" s="9">
        <v>404874012333812</v>
      </c>
      <c r="E32" s="2" t="s">
        <v>117</v>
      </c>
      <c r="F32" s="2" t="s">
        <v>123</v>
      </c>
      <c r="G32" s="2"/>
      <c r="H32" s="2" t="s">
        <v>94</v>
      </c>
      <c r="I32" s="10" t="s">
        <v>118</v>
      </c>
      <c r="J32" s="2" t="s">
        <v>119</v>
      </c>
      <c r="L32" s="11" t="s">
        <v>7</v>
      </c>
    </row>
    <row r="33" spans="1:12" hidden="1" x14ac:dyDescent="0.35">
      <c r="A33" s="2">
        <v>32</v>
      </c>
      <c r="B33" s="2" t="s">
        <v>106</v>
      </c>
      <c r="C33" s="2">
        <v>7740998685</v>
      </c>
      <c r="D33" s="9">
        <v>404874019806997</v>
      </c>
      <c r="E33" s="2" t="s">
        <v>117</v>
      </c>
      <c r="F33" s="2" t="s">
        <v>123</v>
      </c>
      <c r="G33" s="2"/>
      <c r="H33" s="2" t="s">
        <v>94</v>
      </c>
      <c r="I33" s="10" t="s">
        <v>118</v>
      </c>
      <c r="J33" s="2" t="s">
        <v>119</v>
      </c>
      <c r="L33" s="11" t="s">
        <v>7</v>
      </c>
    </row>
    <row r="34" spans="1:12" hidden="1" x14ac:dyDescent="0.35">
      <c r="A34" s="2">
        <v>33</v>
      </c>
      <c r="B34" s="2" t="s">
        <v>106</v>
      </c>
      <c r="C34" s="2">
        <v>7740998690</v>
      </c>
      <c r="D34" s="9">
        <v>404874019807004</v>
      </c>
      <c r="E34" s="2" t="s">
        <v>117</v>
      </c>
      <c r="F34" s="2" t="s">
        <v>123</v>
      </c>
      <c r="G34" s="2" t="s">
        <v>127</v>
      </c>
      <c r="H34" s="2" t="s">
        <v>94</v>
      </c>
      <c r="I34" s="10" t="s">
        <v>118</v>
      </c>
      <c r="J34" s="2" t="s">
        <v>119</v>
      </c>
      <c r="L34" s="11" t="s">
        <v>7</v>
      </c>
    </row>
    <row r="35" spans="1:12" x14ac:dyDescent="0.35">
      <c r="A35" s="2">
        <v>34</v>
      </c>
      <c r="B35" s="2" t="s">
        <v>106</v>
      </c>
      <c r="C35" s="13">
        <v>8058965270</v>
      </c>
      <c r="D35" s="14">
        <v>404874019807043</v>
      </c>
      <c r="E35" s="13" t="s">
        <v>117</v>
      </c>
      <c r="F35" s="13" t="s">
        <v>123</v>
      </c>
      <c r="G35" s="2"/>
      <c r="H35" s="2" t="s">
        <v>112</v>
      </c>
      <c r="I35" s="10" t="s">
        <v>120</v>
      </c>
      <c r="J35" s="2" t="s">
        <v>119</v>
      </c>
    </row>
    <row r="36" spans="1:12" x14ac:dyDescent="0.35">
      <c r="A36" s="2">
        <v>35</v>
      </c>
      <c r="B36" s="2" t="s">
        <v>106</v>
      </c>
      <c r="C36" s="13">
        <v>8502931450</v>
      </c>
      <c r="D36" s="14">
        <v>404874019807053</v>
      </c>
      <c r="E36" s="13" t="s">
        <v>117</v>
      </c>
      <c r="F36" s="13" t="s">
        <v>123</v>
      </c>
      <c r="G36" s="2"/>
      <c r="H36" s="2" t="s">
        <v>112</v>
      </c>
      <c r="I36" s="10" t="s">
        <v>120</v>
      </c>
      <c r="J36" s="2" t="s">
        <v>119</v>
      </c>
    </row>
    <row r="37" spans="1:12" hidden="1" x14ac:dyDescent="0.35">
      <c r="A37" s="2">
        <v>36</v>
      </c>
      <c r="B37" s="2" t="s">
        <v>106</v>
      </c>
      <c r="C37" s="1">
        <v>8504064847</v>
      </c>
      <c r="D37" s="20">
        <v>404874019807054</v>
      </c>
      <c r="E37" s="1" t="s">
        <v>117</v>
      </c>
      <c r="F37" s="1" t="s">
        <v>123</v>
      </c>
      <c r="G37" s="2" t="s">
        <v>126</v>
      </c>
      <c r="H37" s="2" t="s">
        <v>93</v>
      </c>
      <c r="I37" s="10" t="s">
        <v>121</v>
      </c>
      <c r="J37" s="2" t="s">
        <v>119</v>
      </c>
    </row>
    <row r="38" spans="1:12" hidden="1" x14ac:dyDescent="0.35">
      <c r="A38" s="2">
        <v>37</v>
      </c>
      <c r="B38" s="2" t="s">
        <v>106</v>
      </c>
      <c r="C38" s="2">
        <v>8058239731</v>
      </c>
      <c r="D38" s="9">
        <v>404874012333800</v>
      </c>
      <c r="E38" s="2" t="s">
        <v>117</v>
      </c>
      <c r="F38" s="2" t="s">
        <v>123</v>
      </c>
      <c r="G38" s="2"/>
      <c r="H38" s="2" t="s">
        <v>93</v>
      </c>
      <c r="I38" s="10" t="s">
        <v>121</v>
      </c>
      <c r="J38" s="2" t="s">
        <v>119</v>
      </c>
    </row>
    <row r="39" spans="1:12" hidden="1" x14ac:dyDescent="0.35">
      <c r="A39" s="2">
        <v>38</v>
      </c>
      <c r="B39" s="2" t="s">
        <v>106</v>
      </c>
      <c r="C39" s="2">
        <v>7240059788</v>
      </c>
      <c r="D39" s="9">
        <v>404874113480268</v>
      </c>
      <c r="E39" s="2" t="s">
        <v>117</v>
      </c>
      <c r="F39" s="2" t="s">
        <v>123</v>
      </c>
      <c r="G39" s="2"/>
      <c r="H39" s="2" t="s">
        <v>115</v>
      </c>
      <c r="I39" s="10" t="s">
        <v>122</v>
      </c>
      <c r="J39" s="2" t="s">
        <v>119</v>
      </c>
    </row>
    <row r="40" spans="1:12" hidden="1" x14ac:dyDescent="0.35">
      <c r="A40" s="2">
        <v>39</v>
      </c>
      <c r="B40" s="2" t="s">
        <v>106</v>
      </c>
      <c r="C40" s="2">
        <v>7689947661</v>
      </c>
      <c r="D40" s="9">
        <v>404874113480269</v>
      </c>
      <c r="E40" s="2" t="s">
        <v>117</v>
      </c>
      <c r="F40" s="2" t="s">
        <v>123</v>
      </c>
      <c r="G40" s="2"/>
      <c r="H40" s="2" t="s">
        <v>115</v>
      </c>
      <c r="I40" s="10" t="s">
        <v>122</v>
      </c>
      <c r="J40" s="2" t="s">
        <v>119</v>
      </c>
    </row>
    <row r="41" spans="1:12" x14ac:dyDescent="0.35">
      <c r="A41" s="2">
        <v>40</v>
      </c>
      <c r="B41" s="2" t="s">
        <v>106</v>
      </c>
      <c r="C41" s="13">
        <v>8503923638</v>
      </c>
      <c r="D41" s="14">
        <v>404874113480272</v>
      </c>
      <c r="E41" s="13" t="s">
        <v>117</v>
      </c>
      <c r="F41" s="13" t="s">
        <v>123</v>
      </c>
      <c r="G41" s="2"/>
      <c r="H41" s="2" t="s">
        <v>112</v>
      </c>
      <c r="I41" s="10" t="s">
        <v>120</v>
      </c>
      <c r="J41" s="2" t="s">
        <v>119</v>
      </c>
    </row>
    <row r="44" spans="1:12" x14ac:dyDescent="0.35">
      <c r="D44" s="18">
        <v>404604770207762</v>
      </c>
    </row>
    <row r="45" spans="1:12" x14ac:dyDescent="0.35">
      <c r="D45" s="18">
        <v>404874019805555</v>
      </c>
    </row>
    <row r="46" spans="1:12" x14ac:dyDescent="0.35">
      <c r="C46">
        <v>9057129254</v>
      </c>
    </row>
    <row r="49" spans="3:3" x14ac:dyDescent="0.35">
      <c r="C49" t="s">
        <v>131</v>
      </c>
    </row>
  </sheetData>
  <autoFilter ref="A1:L41" xr:uid="{DD28AB3E-CCF0-410F-8041-9DA29EB734C6}">
    <filterColumn colId="7">
      <filters>
        <filter val="SBC06"/>
      </filters>
    </filterColumn>
  </autoFilter>
  <hyperlinks>
    <hyperlink ref="I2" r:id="rId1" tooltip="http://ims.mnc060.mcc103.3gppnetwork.org/" display="http://ims.mnc060.mcc103.3gppnetwork.org/" xr:uid="{153152FE-A89A-486A-8239-D1183A839102}"/>
    <hyperlink ref="I3" r:id="rId2" tooltip="http://ims.mnc060.mcc103.3gppnetwork.org/" display="http://ims.mnc060.mcc103.3gppnetwork.org/" xr:uid="{2CF4D48F-1099-4D6A-8F8C-EA91017229BD}"/>
    <hyperlink ref="I4" r:id="rId3" tooltip="http://ims.mnc060.mcc103.3gppnetwork.org/" display="http://ims.mnc060.mcc103.3gppnetwork.org/" xr:uid="{9D573D64-2892-4792-9BB8-65B8D88CBC8B}"/>
    <hyperlink ref="I5" r:id="rId4" tooltip="http://ims.mnc060.mcc104.3gppnetwork.org/" display="http://ims.mnc060.mcc104.3gppnetwork.org/" xr:uid="{F2CD2018-E849-4863-B4EC-EA6B5918A3AD}"/>
    <hyperlink ref="I6" r:id="rId5" tooltip="http://ims.mnc060.mcc104.3gppnetwork.org/" display="http://ims.mnc060.mcc104.3gppnetwork.org/" xr:uid="{38CDE1B5-763E-4AD6-814B-B8ADD6872CE1}"/>
    <hyperlink ref="I7" r:id="rId6" tooltip="http://ims.mnc060.mcc105.3gppnetwork.org/" display="http://ims.mnc060.mcc105.3gppnetwork.org/" xr:uid="{7BF001D8-59ED-4D2F-8F9E-318F78B2B76B}"/>
    <hyperlink ref="I8" r:id="rId7" tooltip="http://ims.mnc060.mcc105.3gppnetwork.org/" display="http://ims.mnc060.mcc105.3gppnetwork.org/" xr:uid="{8CA9C60E-F03F-437B-B349-A0726C7F28A9}"/>
    <hyperlink ref="I9" r:id="rId8" tooltip="http://ims.mnc060.mcc106.3gppnetwork.org/" display="http://ims.mnc060.mcc106.3gppnetwork.org/" xr:uid="{2C2F8E77-3C24-4DB5-8AF1-EBFD8217BC4C}"/>
    <hyperlink ref="I10" r:id="rId9" tooltip="http://ims.mnc060.mcc106.3gppnetwork.org/" display="http://ims.mnc060.mcc106.3gppnetwork.org/" xr:uid="{EDF72DEE-1D07-49CC-B2B2-1F6ECB063014}"/>
    <hyperlink ref="I11" r:id="rId10" tooltip="http://ims.mnc060.mcc104.3gppnetwork.org/" display="http://ims.mnc060.mcc104.3gppnetwork.org/" xr:uid="{63825DA6-487E-4B53-9A74-98AEAE50C71D}"/>
    <hyperlink ref="I12" r:id="rId11" tooltip="http://ims.mnc087.mcc103.3gppnetwork.org/" display="http://ims.mnc087.mcc103.3gppnetwork.org/" xr:uid="{DAA7C782-A03F-47D5-8BF1-723EF0944415}"/>
    <hyperlink ref="I13" r:id="rId12" tooltip="http://ims.mnc087.mcc103.3gppnetwork.org/" display="http://ims.mnc087.mcc103.3gppnetwork.org/" xr:uid="{5BB9FDBC-1DB1-4827-B7CA-D6D6334B5B25}"/>
    <hyperlink ref="I14" r:id="rId13" tooltip="http://ims.mnc087.mcc103.3gppnetwork.org/" display="http://ims.mnc087.mcc103.3gppnetwork.org/" xr:uid="{546112B6-4D5E-4AC4-9447-7DB26D4A74AD}"/>
    <hyperlink ref="I15" r:id="rId14" tooltip="http://ims.mnc087.mcc104.3gppnetwork.org/" display="http://ims.mnc087.mcc104.3gppnetwork.org/" xr:uid="{272B6BF0-0517-47E5-9F59-F77535B72CA2}"/>
    <hyperlink ref="I16" r:id="rId15" tooltip="http://ims.mnc087.mcc104.3gppnetwork.org/" display="http://ims.mnc087.mcc104.3gppnetwork.org/" xr:uid="{7B4F78F9-4CBA-476A-9CF5-15CDDD385DB7}"/>
    <hyperlink ref="I17" r:id="rId16" tooltip="http://ims.mnc087.mcc105.3gppnetwork.org/" display="http://ims.mnc087.mcc105.3gppnetwork.org/" xr:uid="{D0404B06-2263-4D3C-939D-2A3431CE7C44}"/>
    <hyperlink ref="I18" r:id="rId17" tooltip="http://ims.mnc087.mcc105.3gppnetwork.org/" display="http://ims.mnc087.mcc105.3gppnetwork.org/" xr:uid="{029E726A-AE3B-4C30-A1C7-795B15164CF2}"/>
    <hyperlink ref="I19" r:id="rId18" tooltip="http://ims.mnc087.mcc106.3gppnetwork.org/" display="http://ims.mnc087.mcc106.3gppnetwork.org/" xr:uid="{7D77BB34-6273-46A2-9A0F-9AD6F1FDD133}"/>
    <hyperlink ref="I20" r:id="rId19" tooltip="http://ims.mnc087.mcc106.3gppnetwork.org/" display="http://ims.mnc087.mcc106.3gppnetwork.org/" xr:uid="{2019FAEE-88FC-4B87-8826-5E78BE4043D9}"/>
    <hyperlink ref="I21" r:id="rId20" tooltip="http://ims.mnc087.mcc104.3gppnetwork.org/" display="http://ims.mnc087.mcc104.3gppnetwork.org/" xr:uid="{018685FE-5ADE-49FC-AFF1-21AB5D579433}"/>
    <hyperlink ref="I22" r:id="rId21" tooltip="http://ims.mnc060.mcc103.3gppnetwork.org/" display="http://ims.mnc060.mcc103.3gppnetwork.org/" xr:uid="{CA1581CE-8829-46DF-8C40-4D2A8207C955}"/>
    <hyperlink ref="I23" r:id="rId22" tooltip="http://ims.mnc060.mcc103.3gppnetwork.org/" display="http://ims.mnc060.mcc103.3gppnetwork.org/" xr:uid="{011F56AE-1105-47A5-9995-30DE25B39221}"/>
    <hyperlink ref="I24" r:id="rId23" tooltip="http://ims.mnc060.mcc103.3gppnetwork.org/" display="http://ims.mnc060.mcc103.3gppnetwork.org/" xr:uid="{1F104C63-95D5-47FA-B659-55DAED31C5AC}"/>
    <hyperlink ref="I25" r:id="rId24" tooltip="http://ims.mnc060.mcc104.3gppnetwork.org/" display="http://ims.mnc060.mcc104.3gppnetwork.org/" xr:uid="{8012E3A3-1578-4532-8FC0-188CDE13DF03}"/>
    <hyperlink ref="I26" r:id="rId25" tooltip="http://ims.mnc060.mcc104.3gppnetwork.org/" display="http://ims.mnc060.mcc104.3gppnetwork.org/" xr:uid="{2B4D14A9-752E-4EA7-A56A-85BFDC8198D9}"/>
    <hyperlink ref="I27" r:id="rId26" tooltip="http://ims.mnc060.mcc105.3gppnetwork.org/" display="http://ims.mnc060.mcc105.3gppnetwork.org/" xr:uid="{CB18B7CD-F3A1-4BB4-8C49-8CA594F0E5D4}"/>
    <hyperlink ref="I28" r:id="rId27" tooltip="http://ims.mnc060.mcc105.3gppnetwork.org/" display="http://ims.mnc060.mcc105.3gppnetwork.org/" xr:uid="{83A37FC1-7C01-47DC-A652-AAB979AB8C1A}"/>
    <hyperlink ref="I29" r:id="rId28" tooltip="http://ims.mnc060.mcc106.3gppnetwork.org/" display="http://ims.mnc060.mcc106.3gppnetwork.org/" xr:uid="{57E00D3B-89CA-427F-8C97-B7378C1E2D4E}"/>
    <hyperlink ref="I30" r:id="rId29" tooltip="http://ims.mnc060.mcc106.3gppnetwork.org/" display="http://ims.mnc060.mcc106.3gppnetwork.org/" xr:uid="{F5ED0B84-620B-4776-ABFB-C614A229BA95}"/>
    <hyperlink ref="I31" r:id="rId30" tooltip="http://ims.mnc060.mcc104.3gppnetwork.org/" display="http://ims.mnc060.mcc104.3gppnetwork.org/" xr:uid="{86D59376-B098-4C77-A3B6-F18B4ACE43CA}"/>
    <hyperlink ref="I32" r:id="rId31" tooltip="http://ims.mnc087.mcc105.3gppnetwork.org/" display="http://ims.mnc087.mcc105.3gppnetwork.org/" xr:uid="{A7602619-253E-4A13-B66A-995EF00C04A8}"/>
    <hyperlink ref="I33" r:id="rId32" tooltip="http://ims.mnc087.mcc105.3gppnetwork.org/" display="http://ims.mnc087.mcc105.3gppnetwork.org/" xr:uid="{60E6548A-0C65-41FB-BAF1-77345ED08C53}"/>
    <hyperlink ref="I34" r:id="rId33" tooltip="http://ims.mnc087.mcc105.3gppnetwork.org/" display="http://ims.mnc087.mcc105.3gppnetwork.org/" xr:uid="{F1AD1F41-B1B5-4EB5-A7A2-68049964E5F3}"/>
    <hyperlink ref="I35" r:id="rId34" tooltip="http://ims.mnc087.mcc104.3gppnetwork.org/" display="http://ims.mnc087.mcc104.3gppnetwork.org/" xr:uid="{D6FEEF8D-F503-42FF-9B0F-6C59075827F7}"/>
    <hyperlink ref="I36" r:id="rId35" tooltip="http://ims.mnc087.mcc104.3gppnetwork.org/" display="http://ims.mnc087.mcc104.3gppnetwork.org/" xr:uid="{F9823AA7-C9D1-4AD1-AEED-4F9E47D92EDB}"/>
    <hyperlink ref="I37" r:id="rId36" tooltip="http://ims.mnc087.mcc105.3gppnetwork.org/" display="http://ims.mnc087.mcc105.3gppnetwork.org/" xr:uid="{DBACD733-DCE9-44E7-94D9-D2256B881FE3}"/>
    <hyperlink ref="I38" r:id="rId37" tooltip="http://ims.mnc087.mcc105.3gppnetwork.org/" display="http://ims.mnc087.mcc105.3gppnetwork.org/" xr:uid="{1E857BD1-87FD-42E9-9F7F-15A029FCDF09}"/>
    <hyperlink ref="I39" r:id="rId38" tooltip="http://ims.mnc087.mcc106.3gppnetwork.org/" display="http://ims.mnc087.mcc106.3gppnetwork.org/" xr:uid="{AD983337-0B2E-42ED-BB89-A9E4B91F88D2}"/>
    <hyperlink ref="I40" r:id="rId39" tooltip="http://ims.mnc087.mcc106.3gppnetwork.org/" display="http://ims.mnc087.mcc106.3gppnetwork.org/" xr:uid="{15400588-055D-4BC5-8AEA-697DCE8C1CFA}"/>
    <hyperlink ref="I41" r:id="rId40" tooltip="http://ims.mnc087.mcc104.3gppnetwork.org/" display="http://ims.mnc087.mcc104.3gppnetwork.org/" xr:uid="{E180133C-FEDA-4F2C-946F-01D38225F02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59e087-2c23-4bfe-87f3-b3e812bb9e2f" xsi:nil="true"/>
    <HideFromDelve xmlns="71c5aaf6-e6ce-465b-b873-5148d2a4c105">false</HideFromDelve>
    <lcf76f155ced4ddcb4097134ff3c332f xmlns="b65716cc-8bb4-4cfe-9c87-3f5b75277f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6ED63FC14FD47B80EC5C7E3961C9B" ma:contentTypeVersion="15" ma:contentTypeDescription="Create a new document." ma:contentTypeScope="" ma:versionID="861761f681d3c018437797ef98cdf91c">
  <xsd:schema xmlns:xsd="http://www.w3.org/2001/XMLSchema" xmlns:xs="http://www.w3.org/2001/XMLSchema" xmlns:p="http://schemas.microsoft.com/office/2006/metadata/properties" xmlns:ns2="71c5aaf6-e6ce-465b-b873-5148d2a4c105" xmlns:ns3="b65716cc-8bb4-4cfe-9c87-3f5b75277f11" xmlns:ns4="3e59e087-2c23-4bfe-87f3-b3e812bb9e2f" targetNamespace="http://schemas.microsoft.com/office/2006/metadata/properties" ma:root="true" ma:fieldsID="8f4a871e6f16892f4b54466e9f56a48d" ns2:_="" ns3:_="" ns4:_="">
    <xsd:import namespace="71c5aaf6-e6ce-465b-b873-5148d2a4c105"/>
    <xsd:import namespace="b65716cc-8bb4-4cfe-9c87-3f5b75277f11"/>
    <xsd:import namespace="3e59e087-2c23-4bfe-87f3-b3e812bb9e2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1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716cc-8bb4-4cfe-9c87-3f5b75277f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4c87397-5fc1-491e-85e7-d6110dbe9c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9e087-2c23-4bfe-87f3-b3e812bb9e2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91c0052-5892-477f-88f1-ffe6ca9034ac}" ma:internalName="TaxCatchAll" ma:showField="CatchAllData" ma:web="3e59e087-2c23-4bfe-87f3-b3e812bb9e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34c87397-5fc1-491e-85e7-d6110dbe9cbd" ContentTypeId="0x0101" PreviousValue="false"/>
</file>

<file path=customXml/item4.xml><?xml version="1.0" encoding="utf-8"?>
<?mso-contentType ?>
<spe:Receivers xmlns:spe="http://schemas.microsoft.com/sharepoint/events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2E9B34-ECEC-4D9C-B7A4-5D1AE286CCE3}">
  <ds:schemaRefs>
    <ds:schemaRef ds:uri="http://schemas.microsoft.com/office/2006/metadata/properties"/>
    <ds:schemaRef ds:uri="http://schemas.microsoft.com/office/infopath/2007/PartnerControls"/>
    <ds:schemaRef ds:uri="3e59e087-2c23-4bfe-87f3-b3e812bb9e2f"/>
    <ds:schemaRef ds:uri="71c5aaf6-e6ce-465b-b873-5148d2a4c105"/>
    <ds:schemaRef ds:uri="b65716cc-8bb4-4cfe-9c87-3f5b75277f11"/>
  </ds:schemaRefs>
</ds:datastoreItem>
</file>

<file path=customXml/itemProps2.xml><?xml version="1.0" encoding="utf-8"?>
<ds:datastoreItem xmlns:ds="http://schemas.openxmlformats.org/officeDocument/2006/customXml" ds:itemID="{3178409B-2EEC-4861-B3A2-A72E228945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b65716cc-8bb4-4cfe-9c87-3f5b75277f11"/>
    <ds:schemaRef ds:uri="3e59e087-2c23-4bfe-87f3-b3e812bb9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2435E7-C168-4349-9F89-C4F6B2376A30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492E059-BC7C-414F-B797-16C5149448BD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E2BEADB1-2080-44D3-A864-9662F6E2C6A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Summary-KAR-SBC06</vt:lpstr>
      <vt:lpstr>KAR-SBC06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Tiwari, Arvind (Nokia - IN/Mumbai)</dc:creator>
  <cp:keywords/>
  <dc:description/>
  <cp:lastModifiedBy>Manohar Lal (EXT-Nokia)</cp:lastModifiedBy>
  <cp:revision/>
  <dcterms:created xsi:type="dcterms:W3CDTF">2021-09-18T06:02:46Z</dcterms:created>
  <dcterms:modified xsi:type="dcterms:W3CDTF">2026-06-18T06:25:07Z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0x0101005236ED63FC14FD47B80EC5C7E3961C9B</vt:lpwstr>
  </property>
  <property fmtid="{D5CDD505-2E9C-101B-9397-08002B2CF9AE}" pid="3" name="MediaServiceImageTags">
    <vt:lpwstr/>
  </property>
</Properties>
</file>